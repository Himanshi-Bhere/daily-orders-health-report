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killStack_26\SQL\"/>
    </mc:Choice>
  </mc:AlternateContent>
  <bookViews>
    <workbookView xWindow="0" yWindow="0" windowWidth="20415" windowHeight="8070"/>
  </bookViews>
  <sheets>
    <sheet name="daily_orders_health_report" sheetId="1" r:id="rId1"/>
    <sheet name="Summary" sheetId="2" r:id="rId2"/>
    <sheet name="Findings" sheetId="3" r:id="rId3"/>
  </sheets>
  <calcPr calcId="0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B6" i="2"/>
  <c r="B5" i="2"/>
  <c r="B4" i="2"/>
  <c r="B9" i="2" s="1"/>
  <c r="B3" i="2"/>
  <c r="B8" i="2" l="1"/>
</calcChain>
</file>

<file path=xl/sharedStrings.xml><?xml version="1.0" encoding="utf-8"?>
<sst xmlns="http://schemas.openxmlformats.org/spreadsheetml/2006/main" count="47" uniqueCount="31">
  <si>
    <t>NULL</t>
  </si>
  <si>
    <t>order_date</t>
  </si>
  <si>
    <t xml:space="preserve">orders_placed </t>
  </si>
  <si>
    <t>orders_delivered</t>
  </si>
  <si>
    <t>orders_cancelled</t>
  </si>
  <si>
    <t xml:space="preserve">late_deliveries </t>
  </si>
  <si>
    <t>average_delivery_days</t>
  </si>
  <si>
    <t xml:space="preserve">DAILY ORDERS HEALTH REPORT </t>
  </si>
  <si>
    <t>Metrics</t>
  </si>
  <si>
    <t>Value</t>
  </si>
  <si>
    <t xml:space="preserve">Orders Placed </t>
  </si>
  <si>
    <t xml:space="preserve">Orders Delivered </t>
  </si>
  <si>
    <t>Orders Cancelled</t>
  </si>
  <si>
    <t xml:space="preserve">Late Deliveries </t>
  </si>
  <si>
    <t>Average Delivery Days</t>
  </si>
  <si>
    <t>Cancellation Rate</t>
  </si>
  <si>
    <t>Late Delivery Rate</t>
  </si>
  <si>
    <t>Cancellation Flag</t>
  </si>
  <si>
    <t>Late Delivery Flag</t>
  </si>
  <si>
    <t>Delivery Time Flag</t>
  </si>
  <si>
    <t>KEY FINDINGS — DAILY ORDERS HEALTH</t>
  </si>
  <si>
    <t>1. Order Volume</t>
  </si>
  <si>
    <t>2. Delivery Performance</t>
  </si>
  <si>
    <t>9,284 orders were delivered, while 815 deliveries were classified as late. This represents a late-delivery rate of approximately 8.78% among delivered orders.</t>
  </si>
  <si>
    <t>3. Cancellation &amp; Operational Risk</t>
  </si>
  <si>
    <t>Overall Observation</t>
  </si>
  <si>
    <t xml:space="preserve">The analysis shows that delivery timeliness is a more prominent operational issue than cancellations during the period. </t>
  </si>
  <si>
    <t>The daily health flags provide a simple way to identify dates requiring further investigation.</t>
  </si>
  <si>
    <t xml:space="preserve">124 orders were cancelled, representing approximately 1.30% of orders placed. </t>
  </si>
  <si>
    <t>Daily monitoring also identified multiple dates where cancellations, late deliveries, or average delivery time exceeded the defined alert thresholds.</t>
  </si>
  <si>
    <t>9,529 orders were placed during the 90-day analysis period, providing a broad view of order volume and operational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</si>
</sst>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14" xfId="0" applyNumberFormat="1" applyBorder="1"/>
    <xf numFmtId="0" fontId="0" fillId="0" borderId="10" xfId="0" applyBorder="1"/>
    <xf numFmtId="0" fontId="0" fillId="0" borderId="15" xfId="0" applyBorder="1"/>
    <xf numFmtId="14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center"/>
    </xf>
    <xf numFmtId="0" fontId="19" fillId="34" borderId="0" xfId="0" applyFont="1" applyFill="1" applyAlignment="1">
      <alignment horizontal="center"/>
    </xf>
    <xf numFmtId="10" fontId="0" fillId="0" borderId="0" xfId="1" applyNumberFormat="1" applyFont="1"/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left"/>
    </xf>
    <xf numFmtId="0" fontId="18" fillId="0" borderId="0" xfId="0" applyFont="1"/>
    <xf numFmtId="0" fontId="20" fillId="35" borderId="0" xfId="0" applyFont="1" applyFill="1"/>
    <xf numFmtId="0" fontId="21" fillId="36" borderId="0" xfId="0" applyFont="1" applyFill="1" applyAlignment="1">
      <alignment horizontal="center"/>
    </xf>
    <xf numFmtId="0" fontId="18" fillId="0" borderId="0" xfId="0" applyFont="1" applyAlignment="1">
      <alignment wrapText="1"/>
    </xf>
    <xf numFmtId="0" fontId="13" fillId="33" borderId="10" xfId="0" applyFont="1" applyFill="1" applyBorder="1" applyAlignment="1">
      <alignment horizontal="left"/>
    </xf>
    <xf numFmtId="0" fontId="0" fillId="37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7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Daily Orders Placed</a:t>
            </a:r>
            <a:endParaRPr lang="en-US" sz="20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daily_orders_health_report!$B$1</c:f>
              <c:strCache>
                <c:ptCount val="1"/>
                <c:pt idx="0">
                  <c:v>orders_placed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daily_orders_health_report!$A$2:$A$60</c:f>
              <c:numCache>
                <c:formatCode>m/d/yyyy</c:formatCode>
                <c:ptCount val="59"/>
                <c:pt idx="0">
                  <c:v>43300</c:v>
                </c:pt>
                <c:pt idx="1">
                  <c:v>43301</c:v>
                </c:pt>
                <c:pt idx="2">
                  <c:v>43302</c:v>
                </c:pt>
                <c:pt idx="3">
                  <c:v>43303</c:v>
                </c:pt>
                <c:pt idx="4">
                  <c:v>43304</c:v>
                </c:pt>
                <c:pt idx="5">
                  <c:v>43305</c:v>
                </c:pt>
                <c:pt idx="6">
                  <c:v>43306</c:v>
                </c:pt>
                <c:pt idx="7">
                  <c:v>43307</c:v>
                </c:pt>
                <c:pt idx="8">
                  <c:v>43308</c:v>
                </c:pt>
                <c:pt idx="9">
                  <c:v>43309</c:v>
                </c:pt>
                <c:pt idx="10">
                  <c:v>43310</c:v>
                </c:pt>
                <c:pt idx="11">
                  <c:v>43311</c:v>
                </c:pt>
                <c:pt idx="12">
                  <c:v>43312</c:v>
                </c:pt>
                <c:pt idx="13">
                  <c:v>43313</c:v>
                </c:pt>
                <c:pt idx="14">
                  <c:v>43314</c:v>
                </c:pt>
                <c:pt idx="15">
                  <c:v>43315</c:v>
                </c:pt>
                <c:pt idx="16">
                  <c:v>43316</c:v>
                </c:pt>
                <c:pt idx="17">
                  <c:v>43317</c:v>
                </c:pt>
                <c:pt idx="18">
                  <c:v>43318</c:v>
                </c:pt>
                <c:pt idx="19">
                  <c:v>43319</c:v>
                </c:pt>
                <c:pt idx="20">
                  <c:v>43320</c:v>
                </c:pt>
                <c:pt idx="21">
                  <c:v>43321</c:v>
                </c:pt>
                <c:pt idx="22">
                  <c:v>43322</c:v>
                </c:pt>
                <c:pt idx="23">
                  <c:v>43323</c:v>
                </c:pt>
                <c:pt idx="24">
                  <c:v>43324</c:v>
                </c:pt>
                <c:pt idx="25">
                  <c:v>43325</c:v>
                </c:pt>
                <c:pt idx="26">
                  <c:v>43326</c:v>
                </c:pt>
                <c:pt idx="27">
                  <c:v>43327</c:v>
                </c:pt>
                <c:pt idx="28">
                  <c:v>43328</c:v>
                </c:pt>
                <c:pt idx="29">
                  <c:v>43329</c:v>
                </c:pt>
                <c:pt idx="30">
                  <c:v>43330</c:v>
                </c:pt>
                <c:pt idx="31">
                  <c:v>43331</c:v>
                </c:pt>
                <c:pt idx="32">
                  <c:v>43332</c:v>
                </c:pt>
                <c:pt idx="33">
                  <c:v>43333</c:v>
                </c:pt>
                <c:pt idx="34">
                  <c:v>43334</c:v>
                </c:pt>
                <c:pt idx="35">
                  <c:v>43335</c:v>
                </c:pt>
                <c:pt idx="36">
                  <c:v>43336</c:v>
                </c:pt>
                <c:pt idx="37">
                  <c:v>43337</c:v>
                </c:pt>
                <c:pt idx="38">
                  <c:v>43338</c:v>
                </c:pt>
                <c:pt idx="39">
                  <c:v>43339</c:v>
                </c:pt>
                <c:pt idx="40">
                  <c:v>43340</c:v>
                </c:pt>
                <c:pt idx="41">
                  <c:v>43341</c:v>
                </c:pt>
                <c:pt idx="42">
                  <c:v>43342</c:v>
                </c:pt>
                <c:pt idx="43">
                  <c:v>43343</c:v>
                </c:pt>
                <c:pt idx="44">
                  <c:v>43346</c:v>
                </c:pt>
                <c:pt idx="45">
                  <c:v>43349</c:v>
                </c:pt>
                <c:pt idx="46">
                  <c:v>43353</c:v>
                </c:pt>
                <c:pt idx="47">
                  <c:v>43354</c:v>
                </c:pt>
                <c:pt idx="48">
                  <c:v>43355</c:v>
                </c:pt>
                <c:pt idx="49">
                  <c:v>43356</c:v>
                </c:pt>
                <c:pt idx="50">
                  <c:v>43360</c:v>
                </c:pt>
                <c:pt idx="51">
                  <c:v>43363</c:v>
                </c:pt>
                <c:pt idx="52">
                  <c:v>43368</c:v>
                </c:pt>
                <c:pt idx="53">
                  <c:v>43369</c:v>
                </c:pt>
                <c:pt idx="54">
                  <c:v>43372</c:v>
                </c:pt>
                <c:pt idx="55">
                  <c:v>43374</c:v>
                </c:pt>
                <c:pt idx="56">
                  <c:v>43376</c:v>
                </c:pt>
                <c:pt idx="57">
                  <c:v>43389</c:v>
                </c:pt>
                <c:pt idx="58">
                  <c:v>43390</c:v>
                </c:pt>
              </c:numCache>
            </c:numRef>
          </c:cat>
          <c:val>
            <c:numRef>
              <c:f>daily_orders_health_report!$B$2:$B$60</c:f>
              <c:numCache>
                <c:formatCode>General</c:formatCode>
                <c:ptCount val="59"/>
                <c:pt idx="0">
                  <c:v>89</c:v>
                </c:pt>
                <c:pt idx="1">
                  <c:v>250</c:v>
                </c:pt>
                <c:pt idx="2">
                  <c:v>187</c:v>
                </c:pt>
                <c:pt idx="3">
                  <c:v>215</c:v>
                </c:pt>
                <c:pt idx="4">
                  <c:v>307</c:v>
                </c:pt>
                <c:pt idx="5">
                  <c:v>271</c:v>
                </c:pt>
                <c:pt idx="6">
                  <c:v>268</c:v>
                </c:pt>
                <c:pt idx="7">
                  <c:v>247</c:v>
                </c:pt>
                <c:pt idx="8">
                  <c:v>189</c:v>
                </c:pt>
                <c:pt idx="9">
                  <c:v>176</c:v>
                </c:pt>
                <c:pt idx="10">
                  <c:v>188</c:v>
                </c:pt>
                <c:pt idx="11">
                  <c:v>288</c:v>
                </c:pt>
                <c:pt idx="12">
                  <c:v>322</c:v>
                </c:pt>
                <c:pt idx="13">
                  <c:v>311</c:v>
                </c:pt>
                <c:pt idx="14">
                  <c:v>302</c:v>
                </c:pt>
                <c:pt idx="15">
                  <c:v>314</c:v>
                </c:pt>
                <c:pt idx="16">
                  <c:v>245</c:v>
                </c:pt>
                <c:pt idx="17">
                  <c:v>276</c:v>
                </c:pt>
                <c:pt idx="18">
                  <c:v>372</c:v>
                </c:pt>
                <c:pt idx="19">
                  <c:v>370</c:v>
                </c:pt>
                <c:pt idx="20">
                  <c:v>316</c:v>
                </c:pt>
                <c:pt idx="21">
                  <c:v>289</c:v>
                </c:pt>
                <c:pt idx="22">
                  <c:v>256</c:v>
                </c:pt>
                <c:pt idx="23">
                  <c:v>188</c:v>
                </c:pt>
                <c:pt idx="24">
                  <c:v>197</c:v>
                </c:pt>
                <c:pt idx="25">
                  <c:v>292</c:v>
                </c:pt>
                <c:pt idx="26">
                  <c:v>316</c:v>
                </c:pt>
                <c:pt idx="27">
                  <c:v>288</c:v>
                </c:pt>
                <c:pt idx="28">
                  <c:v>320</c:v>
                </c:pt>
                <c:pt idx="29">
                  <c:v>257</c:v>
                </c:pt>
                <c:pt idx="30">
                  <c:v>198</c:v>
                </c:pt>
                <c:pt idx="31">
                  <c:v>204</c:v>
                </c:pt>
                <c:pt idx="32">
                  <c:v>256</c:v>
                </c:pt>
                <c:pt idx="33">
                  <c:v>243</c:v>
                </c:pt>
                <c:pt idx="34">
                  <c:v>187</c:v>
                </c:pt>
                <c:pt idx="35">
                  <c:v>144</c:v>
                </c:pt>
                <c:pt idx="36">
                  <c:v>99</c:v>
                </c:pt>
                <c:pt idx="37">
                  <c:v>69</c:v>
                </c:pt>
                <c:pt idx="38">
                  <c:v>73</c:v>
                </c:pt>
                <c:pt idx="39">
                  <c:v>67</c:v>
                </c:pt>
                <c:pt idx="40">
                  <c:v>44</c:v>
                </c:pt>
                <c:pt idx="41">
                  <c:v>14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11024"/>
        <c:axId val="402214160"/>
      </c:lineChart>
      <c:dateAx>
        <c:axId val="402211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14160"/>
        <c:crosses val="autoZero"/>
        <c:auto val="1"/>
        <c:lblOffset val="100"/>
        <c:baseTimeUnit val="days"/>
      </c:dateAx>
      <c:valAx>
        <c:axId val="4022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1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224517</xdr:colOff>
      <xdr:row>0</xdr:row>
      <xdr:rowOff>70757</xdr:rowOff>
    </xdr:from>
    <xdr:to>
      <xdr:col>17</xdr:col>
      <xdr:colOff>510267</xdr:colOff>
      <xdr:row>14</xdr:row>
      <xdr:rowOff>146957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I60" totalsRowShown="0" headerRowDxfId="12" headerRowBorderDxfId="10" tableBorderDxfId="11" totalsRowBorderDxfId="9">
  <autoFilter ref="A1:I60"/>
  <tableColumns count="9">
    <tableColumn id="1" name="order_date" dataDxfId="8"/>
    <tableColumn id="2" name="orders_placed " dataDxfId="7"/>
    <tableColumn id="3" name="orders_delivered" dataDxfId="6"/>
    <tableColumn id="4" name="orders_cancelled" dataDxfId="5"/>
    <tableColumn id="5" name="late_deliveries " dataDxfId="4"/>
    <tableColumn id="6" name="average_delivery_days" dataDxfId="3"/>
    <tableColumn id="7" name="Cancellation Flag" dataDxfId="2">
      <calculatedColumnFormula>IF(Table1[[#This Row],[orders_cancelled]]&gt;3,"ALERT","OK")</calculatedColumnFormula>
    </tableColumn>
    <tableColumn id="8" name="Late Delivery Flag" dataDxfId="1">
      <calculatedColumnFormula>IF(Table1[[#This Row],[late_deliveries ]]&gt;10,"ALERT","OK")</calculatedColumnFormula>
    </tableColumn>
    <tableColumn id="9" name="Delivery Time Flag" dataDxfId="0">
      <calculatedColumnFormula>IF(F2&gt;8,"ALERT","OK")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B9" totalsRowShown="0" headerRowDxfId="16">
  <autoFilter ref="A2:B9"/>
  <tableColumns count="2">
    <tableColumn id="1" name="Metrics"/>
    <tableColumn id="2" name="Value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zoomScale="70" zoomScaleNormal="70" workbookViewId="0">
      <selection activeCell="J6" sqref="J6"/>
    </sheetView>
  </sheetViews>
  <sheetFormatPr defaultRowHeight="15" x14ac:dyDescent="0.25"/>
  <cols>
    <col min="1" max="1" width="15.28515625" customWidth="1"/>
    <col min="2" max="2" width="16.140625" customWidth="1"/>
    <col min="3" max="3" width="18.42578125" customWidth="1"/>
    <col min="4" max="4" width="18.28515625" customWidth="1"/>
    <col min="5" max="5" width="16.85546875" customWidth="1"/>
    <col min="6" max="6" width="23.42578125" customWidth="1"/>
    <col min="7" max="7" width="18.42578125" style="10" customWidth="1"/>
    <col min="8" max="8" width="19" style="10" bestFit="1" customWidth="1"/>
    <col min="9" max="9" width="20.5703125" style="10" customWidth="1"/>
    <col min="10" max="10" width="27.42578125" customWidth="1"/>
  </cols>
  <sheetData>
    <row r="1" spans="1:10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17" t="s">
        <v>17</v>
      </c>
      <c r="H1" s="17" t="s">
        <v>18</v>
      </c>
      <c r="I1" s="17" t="s">
        <v>19</v>
      </c>
      <c r="J1" s="22"/>
    </row>
    <row r="2" spans="1:10" x14ac:dyDescent="0.25">
      <c r="A2" s="4">
        <v>43300</v>
      </c>
      <c r="B2" s="5">
        <v>89</v>
      </c>
      <c r="C2" s="5">
        <v>88</v>
      </c>
      <c r="D2" s="5">
        <v>0</v>
      </c>
      <c r="E2" s="5">
        <v>1</v>
      </c>
      <c r="F2" s="6">
        <v>9.5795454545454604</v>
      </c>
      <c r="G2" s="13" t="str">
        <f>IF(Table1[[#This Row],[orders_cancelled]]&gt;3,"ALERT","OK")</f>
        <v>OK</v>
      </c>
      <c r="H2" s="13" t="str">
        <f>IF(Table1[[#This Row],[late_deliveries ]]&gt;10,"ALERT","OK")</f>
        <v>OK</v>
      </c>
      <c r="I2" s="13" t="str">
        <f t="shared" ref="I2:I33" si="0">IF(F2&gt;8,"ALERT","OK")</f>
        <v>ALERT</v>
      </c>
      <c r="J2" s="23"/>
    </row>
    <row r="3" spans="1:10" x14ac:dyDescent="0.25">
      <c r="A3" s="4">
        <v>43301</v>
      </c>
      <c r="B3" s="5">
        <v>250</v>
      </c>
      <c r="C3" s="5">
        <v>247</v>
      </c>
      <c r="D3" s="5">
        <v>2</v>
      </c>
      <c r="E3" s="16">
        <v>10</v>
      </c>
      <c r="F3" s="6">
        <v>9.2469635627530398</v>
      </c>
      <c r="G3" s="14" t="str">
        <f>IF(Table1[[#This Row],[orders_cancelled]]&gt;3,"ALERT","OK")</f>
        <v>OK</v>
      </c>
      <c r="H3" s="14" t="str">
        <f>IF(Table1[[#This Row],[late_deliveries ]]&gt;10,"ALERT","OK")</f>
        <v>OK</v>
      </c>
      <c r="I3" s="14" t="str">
        <f t="shared" si="0"/>
        <v>ALERT</v>
      </c>
    </row>
    <row r="4" spans="1:10" x14ac:dyDescent="0.25">
      <c r="A4" s="4">
        <v>43302</v>
      </c>
      <c r="B4" s="5">
        <v>187</v>
      </c>
      <c r="C4" s="5">
        <v>184</v>
      </c>
      <c r="D4" s="5">
        <v>2</v>
      </c>
      <c r="E4" s="5">
        <v>5</v>
      </c>
      <c r="F4" s="6">
        <v>8.9456521739130395</v>
      </c>
      <c r="G4" s="14" t="str">
        <f>IF(Table1[[#This Row],[orders_cancelled]]&gt;3,"ALERT","OK")</f>
        <v>OK</v>
      </c>
      <c r="H4" s="14" t="str">
        <f>IF(Table1[[#This Row],[late_deliveries ]]&gt;10,"ALERT","OK")</f>
        <v>OK</v>
      </c>
      <c r="I4" s="14" t="str">
        <f t="shared" si="0"/>
        <v>ALERT</v>
      </c>
    </row>
    <row r="5" spans="1:10" x14ac:dyDescent="0.25">
      <c r="A5" s="4">
        <v>43303</v>
      </c>
      <c r="B5" s="5">
        <v>215</v>
      </c>
      <c r="C5" s="5">
        <v>213</v>
      </c>
      <c r="D5" s="5">
        <v>1</v>
      </c>
      <c r="E5" s="5">
        <v>6</v>
      </c>
      <c r="F5" s="6">
        <v>7.8544600938967104</v>
      </c>
      <c r="G5" s="14" t="str">
        <f>IF(Table1[[#This Row],[orders_cancelled]]&gt;3,"ALERT","OK")</f>
        <v>OK</v>
      </c>
      <c r="H5" s="14" t="str">
        <f>IF(Table1[[#This Row],[late_deliveries ]]&gt;10,"ALERT","OK")</f>
        <v>OK</v>
      </c>
      <c r="I5" s="14" t="str">
        <f t="shared" si="0"/>
        <v>OK</v>
      </c>
    </row>
    <row r="6" spans="1:10" x14ac:dyDescent="0.25">
      <c r="A6" s="4">
        <v>43304</v>
      </c>
      <c r="B6" s="5">
        <v>307</v>
      </c>
      <c r="C6" s="5">
        <v>298</v>
      </c>
      <c r="D6" s="5">
        <v>1</v>
      </c>
      <c r="E6" s="5">
        <v>18</v>
      </c>
      <c r="F6" s="6">
        <v>8.0671140939597308</v>
      </c>
      <c r="G6" s="14" t="str">
        <f>IF(Table1[[#This Row],[orders_cancelled]]&gt;3,"ALERT","OK")</f>
        <v>OK</v>
      </c>
      <c r="H6" s="14" t="str">
        <f>IF(Table1[[#This Row],[late_deliveries ]]&gt;10,"ALERT","OK")</f>
        <v>ALERT</v>
      </c>
      <c r="I6" s="14" t="str">
        <f t="shared" si="0"/>
        <v>ALERT</v>
      </c>
    </row>
    <row r="7" spans="1:10" x14ac:dyDescent="0.25">
      <c r="A7" s="4">
        <v>43305</v>
      </c>
      <c r="B7" s="5">
        <v>271</v>
      </c>
      <c r="C7" s="5">
        <v>264</v>
      </c>
      <c r="D7" s="5">
        <v>0</v>
      </c>
      <c r="E7" s="5">
        <v>9</v>
      </c>
      <c r="F7" s="6">
        <v>7.8674242424242404</v>
      </c>
      <c r="G7" s="14" t="str">
        <f>IF(Table1[[#This Row],[orders_cancelled]]&gt;3,"ALERT","OK")</f>
        <v>OK</v>
      </c>
      <c r="H7" s="14" t="str">
        <f>IF(Table1[[#This Row],[late_deliveries ]]&gt;10,"ALERT","OK")</f>
        <v>OK</v>
      </c>
      <c r="I7" s="14" t="str">
        <f t="shared" si="0"/>
        <v>OK</v>
      </c>
    </row>
    <row r="8" spans="1:10" x14ac:dyDescent="0.25">
      <c r="A8" s="4">
        <v>43306</v>
      </c>
      <c r="B8" s="5">
        <v>268</v>
      </c>
      <c r="C8" s="5">
        <v>264</v>
      </c>
      <c r="D8" s="5">
        <v>1</v>
      </c>
      <c r="E8" s="5">
        <v>8</v>
      </c>
      <c r="F8" s="6">
        <v>8.4469696969697008</v>
      </c>
      <c r="G8" s="14" t="str">
        <f>IF(Table1[[#This Row],[orders_cancelled]]&gt;3,"ALERT","OK")</f>
        <v>OK</v>
      </c>
      <c r="H8" s="14" t="str">
        <f>IF(Table1[[#This Row],[late_deliveries ]]&gt;10,"ALERT","OK")</f>
        <v>OK</v>
      </c>
      <c r="I8" s="14" t="str">
        <f t="shared" si="0"/>
        <v>ALERT</v>
      </c>
    </row>
    <row r="9" spans="1:10" x14ac:dyDescent="0.25">
      <c r="A9" s="4">
        <v>43307</v>
      </c>
      <c r="B9" s="5">
        <v>247</v>
      </c>
      <c r="C9" s="5">
        <v>244</v>
      </c>
      <c r="D9" s="5">
        <v>2</v>
      </c>
      <c r="E9" s="5">
        <v>7</v>
      </c>
      <c r="F9" s="6">
        <v>8.1188524590163897</v>
      </c>
      <c r="G9" s="14" t="str">
        <f>IF(Table1[[#This Row],[orders_cancelled]]&gt;3,"ALERT","OK")</f>
        <v>OK</v>
      </c>
      <c r="H9" s="14" t="str">
        <f>IF(Table1[[#This Row],[late_deliveries ]]&gt;10,"ALERT","OK")</f>
        <v>OK</v>
      </c>
      <c r="I9" s="14" t="str">
        <f t="shared" si="0"/>
        <v>ALERT</v>
      </c>
    </row>
    <row r="10" spans="1:10" x14ac:dyDescent="0.25">
      <c r="A10" s="4">
        <v>43308</v>
      </c>
      <c r="B10" s="5">
        <v>189</v>
      </c>
      <c r="C10" s="5">
        <v>186</v>
      </c>
      <c r="D10" s="5">
        <v>0</v>
      </c>
      <c r="E10" s="5">
        <v>5</v>
      </c>
      <c r="F10" s="6">
        <v>9.1344086021505397</v>
      </c>
      <c r="G10" s="14" t="str">
        <f>IF(Table1[[#This Row],[orders_cancelled]]&gt;3,"ALERT","OK")</f>
        <v>OK</v>
      </c>
      <c r="H10" s="14" t="str">
        <f>IF(Table1[[#This Row],[late_deliveries ]]&gt;10,"ALERT","OK")</f>
        <v>OK</v>
      </c>
      <c r="I10" s="14" t="str">
        <f t="shared" si="0"/>
        <v>ALERT</v>
      </c>
    </row>
    <row r="11" spans="1:10" x14ac:dyDescent="0.25">
      <c r="A11" s="4">
        <v>43309</v>
      </c>
      <c r="B11" s="5">
        <v>176</v>
      </c>
      <c r="C11" s="5">
        <v>172</v>
      </c>
      <c r="D11" s="5">
        <v>0</v>
      </c>
      <c r="E11" s="5">
        <v>3</v>
      </c>
      <c r="F11" s="6">
        <v>8.7093023255813993</v>
      </c>
      <c r="G11" s="14" t="str">
        <f>IF(Table1[[#This Row],[orders_cancelled]]&gt;3,"ALERT","OK")</f>
        <v>OK</v>
      </c>
      <c r="H11" s="14" t="str">
        <f>IF(Table1[[#This Row],[late_deliveries ]]&gt;10,"ALERT","OK")</f>
        <v>OK</v>
      </c>
      <c r="I11" s="14" t="str">
        <f t="shared" si="0"/>
        <v>ALERT</v>
      </c>
    </row>
    <row r="12" spans="1:10" x14ac:dyDescent="0.25">
      <c r="A12" s="4">
        <v>43310</v>
      </c>
      <c r="B12" s="5">
        <v>188</v>
      </c>
      <c r="C12" s="5">
        <v>182</v>
      </c>
      <c r="D12" s="5">
        <v>4</v>
      </c>
      <c r="E12" s="5">
        <v>13</v>
      </c>
      <c r="F12" s="6">
        <v>7.5439560439560402</v>
      </c>
      <c r="G12" s="14" t="str">
        <f>IF(Table1[[#This Row],[orders_cancelled]]&gt;3,"ALERT","OK")</f>
        <v>ALERT</v>
      </c>
      <c r="H12" s="14" t="str">
        <f>IF(Table1[[#This Row],[late_deliveries ]]&gt;10,"ALERT","OK")</f>
        <v>ALERT</v>
      </c>
      <c r="I12" s="14" t="str">
        <f t="shared" si="0"/>
        <v>OK</v>
      </c>
    </row>
    <row r="13" spans="1:10" x14ac:dyDescent="0.25">
      <c r="A13" s="4">
        <v>43311</v>
      </c>
      <c r="B13" s="5">
        <v>288</v>
      </c>
      <c r="C13" s="5">
        <v>278</v>
      </c>
      <c r="D13" s="5">
        <v>4</v>
      </c>
      <c r="E13" s="5">
        <v>34</v>
      </c>
      <c r="F13" s="6">
        <v>7.9712230215827304</v>
      </c>
      <c r="G13" s="14" t="str">
        <f>IF(Table1[[#This Row],[orders_cancelled]]&gt;3,"ALERT","OK")</f>
        <v>ALERT</v>
      </c>
      <c r="H13" s="14" t="str">
        <f>IF(Table1[[#This Row],[late_deliveries ]]&gt;10,"ALERT","OK")</f>
        <v>ALERT</v>
      </c>
      <c r="I13" s="14" t="str">
        <f t="shared" si="0"/>
        <v>OK</v>
      </c>
    </row>
    <row r="14" spans="1:10" x14ac:dyDescent="0.25">
      <c r="A14" s="4">
        <v>43312</v>
      </c>
      <c r="B14" s="5">
        <v>322</v>
      </c>
      <c r="C14" s="5">
        <v>313</v>
      </c>
      <c r="D14" s="5">
        <v>4</v>
      </c>
      <c r="E14" s="5">
        <v>36</v>
      </c>
      <c r="F14" s="6">
        <v>7.8083067092651799</v>
      </c>
      <c r="G14" s="14" t="str">
        <f>IF(Table1[[#This Row],[orders_cancelled]]&gt;3,"ALERT","OK")</f>
        <v>ALERT</v>
      </c>
      <c r="H14" s="14" t="str">
        <f>IF(Table1[[#This Row],[late_deliveries ]]&gt;10,"ALERT","OK")</f>
        <v>ALERT</v>
      </c>
      <c r="I14" s="14" t="str">
        <f t="shared" si="0"/>
        <v>OK</v>
      </c>
    </row>
    <row r="15" spans="1:10" x14ac:dyDescent="0.25">
      <c r="A15" s="4">
        <v>43313</v>
      </c>
      <c r="B15" s="5">
        <v>311</v>
      </c>
      <c r="C15" s="5">
        <v>306</v>
      </c>
      <c r="D15" s="5">
        <v>2</v>
      </c>
      <c r="E15" s="5">
        <v>40</v>
      </c>
      <c r="F15" s="6">
        <v>8.9084967320261406</v>
      </c>
      <c r="G15" s="14" t="str">
        <f>IF(Table1[[#This Row],[orders_cancelled]]&gt;3,"ALERT","OK")</f>
        <v>OK</v>
      </c>
      <c r="H15" s="14" t="str">
        <f>IF(Table1[[#This Row],[late_deliveries ]]&gt;10,"ALERT","OK")</f>
        <v>ALERT</v>
      </c>
      <c r="I15" s="14" t="str">
        <f t="shared" si="0"/>
        <v>ALERT</v>
      </c>
    </row>
    <row r="16" spans="1:10" x14ac:dyDescent="0.25">
      <c r="A16" s="4">
        <v>43314</v>
      </c>
      <c r="B16" s="5">
        <v>302</v>
      </c>
      <c r="C16" s="5">
        <v>292</v>
      </c>
      <c r="D16" s="5">
        <v>2</v>
      </c>
      <c r="E16" s="5">
        <v>45</v>
      </c>
      <c r="F16" s="6">
        <v>9.1541095890411004</v>
      </c>
      <c r="G16" s="14" t="str">
        <f>IF(Table1[[#This Row],[orders_cancelled]]&gt;3,"ALERT","OK")</f>
        <v>OK</v>
      </c>
      <c r="H16" s="14" t="str">
        <f>IF(Table1[[#This Row],[late_deliveries ]]&gt;10,"ALERT","OK")</f>
        <v>ALERT</v>
      </c>
      <c r="I16" s="14" t="str">
        <f t="shared" si="0"/>
        <v>ALERT</v>
      </c>
    </row>
    <row r="17" spans="1:9" x14ac:dyDescent="0.25">
      <c r="A17" s="4">
        <v>43315</v>
      </c>
      <c r="B17" s="5">
        <v>314</v>
      </c>
      <c r="C17" s="5">
        <v>308</v>
      </c>
      <c r="D17" s="5">
        <v>2</v>
      </c>
      <c r="E17" s="5">
        <v>47</v>
      </c>
      <c r="F17" s="6">
        <v>9.5032467532467493</v>
      </c>
      <c r="G17" s="14" t="str">
        <f>IF(Table1[[#This Row],[orders_cancelled]]&gt;3,"ALERT","OK")</f>
        <v>OK</v>
      </c>
      <c r="H17" s="14" t="str">
        <f>IF(Table1[[#This Row],[late_deliveries ]]&gt;10,"ALERT","OK")</f>
        <v>ALERT</v>
      </c>
      <c r="I17" s="14" t="str">
        <f t="shared" si="0"/>
        <v>ALERT</v>
      </c>
    </row>
    <row r="18" spans="1:9" x14ac:dyDescent="0.25">
      <c r="A18" s="4">
        <v>43316</v>
      </c>
      <c r="B18" s="5">
        <v>245</v>
      </c>
      <c r="C18" s="5">
        <v>236</v>
      </c>
      <c r="D18" s="5">
        <v>3</v>
      </c>
      <c r="E18" s="5">
        <v>26</v>
      </c>
      <c r="F18" s="6">
        <v>8.9576271186440692</v>
      </c>
      <c r="G18" s="14" t="str">
        <f>IF(Table1[[#This Row],[orders_cancelled]]&gt;3,"ALERT","OK")</f>
        <v>OK</v>
      </c>
      <c r="H18" s="14" t="str">
        <f>IF(Table1[[#This Row],[late_deliveries ]]&gt;10,"ALERT","OK")</f>
        <v>ALERT</v>
      </c>
      <c r="I18" s="14" t="str">
        <f t="shared" si="0"/>
        <v>ALERT</v>
      </c>
    </row>
    <row r="19" spans="1:9" x14ac:dyDescent="0.25">
      <c r="A19" s="4">
        <v>43317</v>
      </c>
      <c r="B19" s="5">
        <v>276</v>
      </c>
      <c r="C19" s="5">
        <v>269</v>
      </c>
      <c r="D19" s="5">
        <v>2</v>
      </c>
      <c r="E19" s="5">
        <v>48</v>
      </c>
      <c r="F19" s="6">
        <v>7.9405204460966496</v>
      </c>
      <c r="G19" s="14" t="str">
        <f>IF(Table1[[#This Row],[orders_cancelled]]&gt;3,"ALERT","OK")</f>
        <v>OK</v>
      </c>
      <c r="H19" s="14" t="str">
        <f>IF(Table1[[#This Row],[late_deliveries ]]&gt;10,"ALERT","OK")</f>
        <v>ALERT</v>
      </c>
      <c r="I19" s="14" t="str">
        <f t="shared" si="0"/>
        <v>OK</v>
      </c>
    </row>
    <row r="20" spans="1:9" x14ac:dyDescent="0.25">
      <c r="A20" s="4">
        <v>43318</v>
      </c>
      <c r="B20" s="5">
        <v>372</v>
      </c>
      <c r="C20" s="5">
        <v>363</v>
      </c>
      <c r="D20" s="5">
        <v>4</v>
      </c>
      <c r="E20" s="5">
        <v>72</v>
      </c>
      <c r="F20" s="6">
        <v>8.4380165289256208</v>
      </c>
      <c r="G20" s="14" t="str">
        <f>IF(Table1[[#This Row],[orders_cancelled]]&gt;3,"ALERT","OK")</f>
        <v>ALERT</v>
      </c>
      <c r="H20" s="14" t="str">
        <f>IF(Table1[[#This Row],[late_deliveries ]]&gt;10,"ALERT","OK")</f>
        <v>ALERT</v>
      </c>
      <c r="I20" s="14" t="str">
        <f t="shared" si="0"/>
        <v>ALERT</v>
      </c>
    </row>
    <row r="21" spans="1:9" x14ac:dyDescent="0.25">
      <c r="A21" s="4">
        <v>43319</v>
      </c>
      <c r="B21" s="5">
        <v>370</v>
      </c>
      <c r="C21" s="5">
        <v>353</v>
      </c>
      <c r="D21" s="5">
        <v>9</v>
      </c>
      <c r="E21" s="5">
        <v>63</v>
      </c>
      <c r="F21" s="6">
        <v>8.2606232294617605</v>
      </c>
      <c r="G21" s="14" t="str">
        <f>IF(Table1[[#This Row],[orders_cancelled]]&gt;3,"ALERT","OK")</f>
        <v>ALERT</v>
      </c>
      <c r="H21" s="14" t="str">
        <f>IF(Table1[[#This Row],[late_deliveries ]]&gt;10,"ALERT","OK")</f>
        <v>ALERT</v>
      </c>
      <c r="I21" s="14" t="str">
        <f t="shared" si="0"/>
        <v>ALERT</v>
      </c>
    </row>
    <row r="22" spans="1:9" x14ac:dyDescent="0.25">
      <c r="A22" s="4">
        <v>43320</v>
      </c>
      <c r="B22" s="5">
        <v>316</v>
      </c>
      <c r="C22" s="5">
        <v>310</v>
      </c>
      <c r="D22" s="5">
        <v>2</v>
      </c>
      <c r="E22" s="5">
        <v>35</v>
      </c>
      <c r="F22" s="6">
        <v>8.1741935483871</v>
      </c>
      <c r="G22" s="14" t="str">
        <f>IF(Table1[[#This Row],[orders_cancelled]]&gt;3,"ALERT","OK")</f>
        <v>OK</v>
      </c>
      <c r="H22" s="14" t="str">
        <f>IF(Table1[[#This Row],[late_deliveries ]]&gt;10,"ALERT","OK")</f>
        <v>ALERT</v>
      </c>
      <c r="I22" s="14" t="str">
        <f t="shared" si="0"/>
        <v>ALERT</v>
      </c>
    </row>
    <row r="23" spans="1:9" x14ac:dyDescent="0.25">
      <c r="A23" s="4">
        <v>43321</v>
      </c>
      <c r="B23" s="5">
        <v>289</v>
      </c>
      <c r="C23" s="5">
        <v>280</v>
      </c>
      <c r="D23" s="5">
        <v>6</v>
      </c>
      <c r="E23" s="5">
        <v>30</v>
      </c>
      <c r="F23" s="6">
        <v>8.4464285714285694</v>
      </c>
      <c r="G23" s="14" t="str">
        <f>IF(Table1[[#This Row],[orders_cancelled]]&gt;3,"ALERT","OK")</f>
        <v>ALERT</v>
      </c>
      <c r="H23" s="14" t="str">
        <f>IF(Table1[[#This Row],[late_deliveries ]]&gt;10,"ALERT","OK")</f>
        <v>ALERT</v>
      </c>
      <c r="I23" s="14" t="str">
        <f t="shared" si="0"/>
        <v>ALERT</v>
      </c>
    </row>
    <row r="24" spans="1:9" x14ac:dyDescent="0.25">
      <c r="A24" s="4">
        <v>43322</v>
      </c>
      <c r="B24" s="5">
        <v>256</v>
      </c>
      <c r="C24" s="5">
        <v>249</v>
      </c>
      <c r="D24" s="5">
        <v>3</v>
      </c>
      <c r="E24" s="5">
        <v>26</v>
      </c>
      <c r="F24" s="6">
        <v>9.3212851405622494</v>
      </c>
      <c r="G24" s="14" t="str">
        <f>IF(Table1[[#This Row],[orders_cancelled]]&gt;3,"ALERT","OK")</f>
        <v>OK</v>
      </c>
      <c r="H24" s="14" t="str">
        <f>IF(Table1[[#This Row],[late_deliveries ]]&gt;10,"ALERT","OK")</f>
        <v>ALERT</v>
      </c>
      <c r="I24" s="14" t="str">
        <f t="shared" si="0"/>
        <v>ALERT</v>
      </c>
    </row>
    <row r="25" spans="1:9" x14ac:dyDescent="0.25">
      <c r="A25" s="4">
        <v>43323</v>
      </c>
      <c r="B25" s="5">
        <v>188</v>
      </c>
      <c r="C25" s="5">
        <v>185</v>
      </c>
      <c r="D25" s="5">
        <v>0</v>
      </c>
      <c r="E25" s="5">
        <v>8</v>
      </c>
      <c r="F25" s="6">
        <v>8.5459459459459506</v>
      </c>
      <c r="G25" s="14" t="str">
        <f>IF(Table1[[#This Row],[orders_cancelled]]&gt;3,"ALERT","OK")</f>
        <v>OK</v>
      </c>
      <c r="H25" s="14" t="str">
        <f>IF(Table1[[#This Row],[late_deliveries ]]&gt;10,"ALERT","OK")</f>
        <v>OK</v>
      </c>
      <c r="I25" s="14" t="str">
        <f t="shared" si="0"/>
        <v>ALERT</v>
      </c>
    </row>
    <row r="26" spans="1:9" x14ac:dyDescent="0.25">
      <c r="A26" s="4">
        <v>43324</v>
      </c>
      <c r="B26" s="5">
        <v>197</v>
      </c>
      <c r="C26" s="5">
        <v>191</v>
      </c>
      <c r="D26" s="5">
        <v>0</v>
      </c>
      <c r="E26" s="5">
        <v>9</v>
      </c>
      <c r="F26" s="6">
        <v>7.7539267015706796</v>
      </c>
      <c r="G26" s="14" t="str">
        <f>IF(Table1[[#This Row],[orders_cancelled]]&gt;3,"ALERT","OK")</f>
        <v>OK</v>
      </c>
      <c r="H26" s="14" t="str">
        <f>IF(Table1[[#This Row],[late_deliveries ]]&gt;10,"ALERT","OK")</f>
        <v>OK</v>
      </c>
      <c r="I26" s="14" t="str">
        <f t="shared" si="0"/>
        <v>OK</v>
      </c>
    </row>
    <row r="27" spans="1:9" x14ac:dyDescent="0.25">
      <c r="A27" s="4">
        <v>43325</v>
      </c>
      <c r="B27" s="5">
        <v>292</v>
      </c>
      <c r="C27" s="5">
        <v>284</v>
      </c>
      <c r="D27" s="5">
        <v>5</v>
      </c>
      <c r="E27" s="5">
        <v>19</v>
      </c>
      <c r="F27" s="6">
        <v>7.4753521126760596</v>
      </c>
      <c r="G27" s="14" t="str">
        <f>IF(Table1[[#This Row],[orders_cancelled]]&gt;3,"ALERT","OK")</f>
        <v>ALERT</v>
      </c>
      <c r="H27" s="14" t="str">
        <f>IF(Table1[[#This Row],[late_deliveries ]]&gt;10,"ALERT","OK")</f>
        <v>ALERT</v>
      </c>
      <c r="I27" s="14" t="str">
        <f t="shared" si="0"/>
        <v>OK</v>
      </c>
    </row>
    <row r="28" spans="1:9" x14ac:dyDescent="0.25">
      <c r="A28" s="4">
        <v>43326</v>
      </c>
      <c r="B28" s="5">
        <v>316</v>
      </c>
      <c r="C28" s="5">
        <v>311</v>
      </c>
      <c r="D28" s="5">
        <v>4</v>
      </c>
      <c r="E28" s="5">
        <v>35</v>
      </c>
      <c r="F28" s="6">
        <v>7.7459807073954998</v>
      </c>
      <c r="G28" s="14" t="str">
        <f>IF(Table1[[#This Row],[orders_cancelled]]&gt;3,"ALERT","OK")</f>
        <v>ALERT</v>
      </c>
      <c r="H28" s="14" t="str">
        <f>IF(Table1[[#This Row],[late_deliveries ]]&gt;10,"ALERT","OK")</f>
        <v>ALERT</v>
      </c>
      <c r="I28" s="14" t="str">
        <f t="shared" si="0"/>
        <v>OK</v>
      </c>
    </row>
    <row r="29" spans="1:9" x14ac:dyDescent="0.25">
      <c r="A29" s="4">
        <v>43327</v>
      </c>
      <c r="B29" s="5">
        <v>288</v>
      </c>
      <c r="C29" s="5">
        <v>282</v>
      </c>
      <c r="D29" s="5">
        <v>5</v>
      </c>
      <c r="E29" s="5">
        <v>24</v>
      </c>
      <c r="F29" s="6">
        <v>7.6524822695035501</v>
      </c>
      <c r="G29" s="14" t="str">
        <f>IF(Table1[[#This Row],[orders_cancelled]]&gt;3,"ALERT","OK")</f>
        <v>ALERT</v>
      </c>
      <c r="H29" s="14" t="str">
        <f>IF(Table1[[#This Row],[late_deliveries ]]&gt;10,"ALERT","OK")</f>
        <v>ALERT</v>
      </c>
      <c r="I29" s="14" t="str">
        <f t="shared" si="0"/>
        <v>OK</v>
      </c>
    </row>
    <row r="30" spans="1:9" x14ac:dyDescent="0.25">
      <c r="A30" s="4">
        <v>43328</v>
      </c>
      <c r="B30" s="5">
        <v>320</v>
      </c>
      <c r="C30" s="5">
        <v>316</v>
      </c>
      <c r="D30" s="5">
        <v>4</v>
      </c>
      <c r="E30" s="5">
        <v>28</v>
      </c>
      <c r="F30" s="6">
        <v>7.66455696202532</v>
      </c>
      <c r="G30" s="14" t="str">
        <f>IF(Table1[[#This Row],[orders_cancelled]]&gt;3,"ALERT","OK")</f>
        <v>ALERT</v>
      </c>
      <c r="H30" s="14" t="str">
        <f>IF(Table1[[#This Row],[late_deliveries ]]&gt;10,"ALERT","OK")</f>
        <v>ALERT</v>
      </c>
      <c r="I30" s="14" t="str">
        <f t="shared" si="0"/>
        <v>OK</v>
      </c>
    </row>
    <row r="31" spans="1:9" x14ac:dyDescent="0.25">
      <c r="A31" s="4">
        <v>43329</v>
      </c>
      <c r="B31" s="5">
        <v>257</v>
      </c>
      <c r="C31" s="5">
        <v>249</v>
      </c>
      <c r="D31" s="5">
        <v>3</v>
      </c>
      <c r="E31" s="5">
        <v>11</v>
      </c>
      <c r="F31" s="6">
        <v>7.8112449799196799</v>
      </c>
      <c r="G31" s="14" t="str">
        <f>IF(Table1[[#This Row],[orders_cancelled]]&gt;3,"ALERT","OK")</f>
        <v>OK</v>
      </c>
      <c r="H31" s="14" t="str">
        <f>IF(Table1[[#This Row],[late_deliveries ]]&gt;10,"ALERT","OK")</f>
        <v>ALERT</v>
      </c>
      <c r="I31" s="14" t="str">
        <f t="shared" si="0"/>
        <v>OK</v>
      </c>
    </row>
    <row r="32" spans="1:9" x14ac:dyDescent="0.25">
      <c r="A32" s="4">
        <v>43330</v>
      </c>
      <c r="B32" s="5">
        <v>198</v>
      </c>
      <c r="C32" s="5">
        <v>193</v>
      </c>
      <c r="D32" s="5">
        <v>2</v>
      </c>
      <c r="E32" s="5">
        <v>5</v>
      </c>
      <c r="F32" s="6">
        <v>7.4870466321243496</v>
      </c>
      <c r="G32" s="14" t="str">
        <f>IF(Table1[[#This Row],[orders_cancelled]]&gt;3,"ALERT","OK")</f>
        <v>OK</v>
      </c>
      <c r="H32" s="14" t="str">
        <f>IF(Table1[[#This Row],[late_deliveries ]]&gt;10,"ALERT","OK")</f>
        <v>OK</v>
      </c>
      <c r="I32" s="14" t="str">
        <f t="shared" si="0"/>
        <v>OK</v>
      </c>
    </row>
    <row r="33" spans="1:9" x14ac:dyDescent="0.25">
      <c r="A33" s="4">
        <v>43331</v>
      </c>
      <c r="B33" s="5">
        <v>204</v>
      </c>
      <c r="C33" s="5">
        <v>204</v>
      </c>
      <c r="D33" s="5">
        <v>0</v>
      </c>
      <c r="E33" s="5">
        <v>11</v>
      </c>
      <c r="F33" s="6">
        <v>6.7990196078431397</v>
      </c>
      <c r="G33" s="14" t="str">
        <f>IF(Table1[[#This Row],[orders_cancelled]]&gt;3,"ALERT","OK")</f>
        <v>OK</v>
      </c>
      <c r="H33" s="14" t="str">
        <f>IF(Table1[[#This Row],[late_deliveries ]]&gt;10,"ALERT","OK")</f>
        <v>ALERT</v>
      </c>
      <c r="I33" s="14" t="str">
        <f t="shared" si="0"/>
        <v>OK</v>
      </c>
    </row>
    <row r="34" spans="1:9" x14ac:dyDescent="0.25">
      <c r="A34" s="4">
        <v>43332</v>
      </c>
      <c r="B34" s="5">
        <v>256</v>
      </c>
      <c r="C34" s="5">
        <v>251</v>
      </c>
      <c r="D34" s="5">
        <v>4</v>
      </c>
      <c r="E34" s="5">
        <v>25</v>
      </c>
      <c r="F34" s="6">
        <v>5.8685258964143401</v>
      </c>
      <c r="G34" s="14" t="str">
        <f>IF(Table1[[#This Row],[orders_cancelled]]&gt;3,"ALERT","OK")</f>
        <v>ALERT</v>
      </c>
      <c r="H34" s="14" t="str">
        <f>IF(Table1[[#This Row],[late_deliveries ]]&gt;10,"ALERT","OK")</f>
        <v>ALERT</v>
      </c>
      <c r="I34" s="14" t="str">
        <f t="shared" ref="I34:I60" si="1">IF(F34&gt;8,"ALERT","OK")</f>
        <v>OK</v>
      </c>
    </row>
    <row r="35" spans="1:9" x14ac:dyDescent="0.25">
      <c r="A35" s="4">
        <v>43333</v>
      </c>
      <c r="B35" s="5">
        <v>243</v>
      </c>
      <c r="C35" s="5">
        <v>238</v>
      </c>
      <c r="D35" s="5">
        <v>3</v>
      </c>
      <c r="E35" s="5">
        <v>17</v>
      </c>
      <c r="F35" s="6">
        <v>5.5630252100840298</v>
      </c>
      <c r="G35" s="14" t="str">
        <f>IF(Table1[[#This Row],[orders_cancelled]]&gt;3,"ALERT","OK")</f>
        <v>OK</v>
      </c>
      <c r="H35" s="14" t="str">
        <f>IF(Table1[[#This Row],[late_deliveries ]]&gt;10,"ALERT","OK")</f>
        <v>ALERT</v>
      </c>
      <c r="I35" s="14" t="str">
        <f t="shared" si="1"/>
        <v>OK</v>
      </c>
    </row>
    <row r="36" spans="1:9" x14ac:dyDescent="0.25">
      <c r="A36" s="4">
        <v>43334</v>
      </c>
      <c r="B36" s="5">
        <v>187</v>
      </c>
      <c r="C36" s="5">
        <v>185</v>
      </c>
      <c r="D36" s="5">
        <v>1</v>
      </c>
      <c r="E36" s="5">
        <v>11</v>
      </c>
      <c r="F36" s="6">
        <v>5.7243243243243196</v>
      </c>
      <c r="G36" s="14" t="str">
        <f>IF(Table1[[#This Row],[orders_cancelled]]&gt;3,"ALERT","OK")</f>
        <v>OK</v>
      </c>
      <c r="H36" s="14" t="str">
        <f>IF(Table1[[#This Row],[late_deliveries ]]&gt;10,"ALERT","OK")</f>
        <v>ALERT</v>
      </c>
      <c r="I36" s="14" t="str">
        <f t="shared" si="1"/>
        <v>OK</v>
      </c>
    </row>
    <row r="37" spans="1:9" x14ac:dyDescent="0.25">
      <c r="A37" s="4">
        <v>43335</v>
      </c>
      <c r="B37" s="5">
        <v>144</v>
      </c>
      <c r="C37" s="5">
        <v>142</v>
      </c>
      <c r="D37" s="5">
        <v>2</v>
      </c>
      <c r="E37" s="5">
        <v>7</v>
      </c>
      <c r="F37" s="6">
        <v>5.5</v>
      </c>
      <c r="G37" s="14" t="str">
        <f>IF(Table1[[#This Row],[orders_cancelled]]&gt;3,"ALERT","OK")</f>
        <v>OK</v>
      </c>
      <c r="H37" s="14" t="str">
        <f>IF(Table1[[#This Row],[late_deliveries ]]&gt;10,"ALERT","OK")</f>
        <v>OK</v>
      </c>
      <c r="I37" s="14" t="str">
        <f t="shared" si="1"/>
        <v>OK</v>
      </c>
    </row>
    <row r="38" spans="1:9" x14ac:dyDescent="0.25">
      <c r="A38" s="4">
        <v>43336</v>
      </c>
      <c r="B38" s="5">
        <v>99</v>
      </c>
      <c r="C38" s="5">
        <v>96</v>
      </c>
      <c r="D38" s="5">
        <v>2</v>
      </c>
      <c r="E38" s="5">
        <v>9</v>
      </c>
      <c r="F38" s="6">
        <v>5.1666666666666696</v>
      </c>
      <c r="G38" s="14" t="str">
        <f>IF(Table1[[#This Row],[orders_cancelled]]&gt;3,"ALERT","OK")</f>
        <v>OK</v>
      </c>
      <c r="H38" s="14" t="str">
        <f>IF(Table1[[#This Row],[late_deliveries ]]&gt;10,"ALERT","OK")</f>
        <v>OK</v>
      </c>
      <c r="I38" s="14" t="str">
        <f t="shared" si="1"/>
        <v>OK</v>
      </c>
    </row>
    <row r="39" spans="1:9" x14ac:dyDescent="0.25">
      <c r="A39" s="4">
        <v>43337</v>
      </c>
      <c r="B39" s="5">
        <v>69</v>
      </c>
      <c r="C39" s="5">
        <v>69</v>
      </c>
      <c r="D39" s="5">
        <v>0</v>
      </c>
      <c r="E39" s="5">
        <v>1</v>
      </c>
      <c r="F39" s="6">
        <v>4.2173913043478297</v>
      </c>
      <c r="G39" s="14" t="str">
        <f>IF(Table1[[#This Row],[orders_cancelled]]&gt;3,"ALERT","OK")</f>
        <v>OK</v>
      </c>
      <c r="H39" s="14" t="str">
        <f>IF(Table1[[#This Row],[late_deliveries ]]&gt;10,"ALERT","OK")</f>
        <v>OK</v>
      </c>
      <c r="I39" s="14" t="str">
        <f t="shared" si="1"/>
        <v>OK</v>
      </c>
    </row>
    <row r="40" spans="1:9" x14ac:dyDescent="0.25">
      <c r="A40" s="4">
        <v>43338</v>
      </c>
      <c r="B40" s="5">
        <v>73</v>
      </c>
      <c r="C40" s="5">
        <v>73</v>
      </c>
      <c r="D40" s="5">
        <v>0</v>
      </c>
      <c r="E40" s="5">
        <v>1</v>
      </c>
      <c r="F40" s="6">
        <v>3.31506849315068</v>
      </c>
      <c r="G40" s="14" t="str">
        <f>IF(Table1[[#This Row],[orders_cancelled]]&gt;3,"ALERT","OK")</f>
        <v>OK</v>
      </c>
      <c r="H40" s="14" t="str">
        <f>IF(Table1[[#This Row],[late_deliveries ]]&gt;10,"ALERT","OK")</f>
        <v>OK</v>
      </c>
      <c r="I40" s="14" t="str">
        <f t="shared" si="1"/>
        <v>OK</v>
      </c>
    </row>
    <row r="41" spans="1:9" x14ac:dyDescent="0.25">
      <c r="A41" s="4">
        <v>43339</v>
      </c>
      <c r="B41" s="5">
        <v>67</v>
      </c>
      <c r="C41" s="5">
        <v>66</v>
      </c>
      <c r="D41" s="5">
        <v>1</v>
      </c>
      <c r="E41" s="5">
        <v>6</v>
      </c>
      <c r="F41" s="6">
        <v>2.4696969696969702</v>
      </c>
      <c r="G41" s="14" t="str">
        <f>IF(Table1[[#This Row],[orders_cancelled]]&gt;3,"ALERT","OK")</f>
        <v>OK</v>
      </c>
      <c r="H41" s="14" t="str">
        <f>IF(Table1[[#This Row],[late_deliveries ]]&gt;10,"ALERT","OK")</f>
        <v>OK</v>
      </c>
      <c r="I41" s="14" t="str">
        <f t="shared" si="1"/>
        <v>OK</v>
      </c>
    </row>
    <row r="42" spans="1:9" x14ac:dyDescent="0.25">
      <c r="A42" s="4">
        <v>43340</v>
      </c>
      <c r="B42" s="5">
        <v>44</v>
      </c>
      <c r="C42" s="5">
        <v>39</v>
      </c>
      <c r="D42" s="5">
        <v>5</v>
      </c>
      <c r="E42" s="5">
        <v>1</v>
      </c>
      <c r="F42" s="6">
        <v>1.82051282051282</v>
      </c>
      <c r="G42" s="14" t="str">
        <f>IF(Table1[[#This Row],[orders_cancelled]]&gt;3,"ALERT","OK")</f>
        <v>ALERT</v>
      </c>
      <c r="H42" s="14" t="str">
        <f>IF(Table1[[#This Row],[late_deliveries ]]&gt;10,"ALERT","OK")</f>
        <v>OK</v>
      </c>
      <c r="I42" s="14" t="str">
        <f t="shared" si="1"/>
        <v>OK</v>
      </c>
    </row>
    <row r="43" spans="1:9" x14ac:dyDescent="0.25">
      <c r="A43" s="4">
        <v>43341</v>
      </c>
      <c r="B43" s="5">
        <v>14</v>
      </c>
      <c r="C43" s="5">
        <v>11</v>
      </c>
      <c r="D43" s="5">
        <v>3</v>
      </c>
      <c r="E43" s="5">
        <v>0</v>
      </c>
      <c r="F43" s="6">
        <v>1</v>
      </c>
      <c r="G43" s="14" t="str">
        <f>IF(Table1[[#This Row],[orders_cancelled]]&gt;3,"ALERT","OK")</f>
        <v>OK</v>
      </c>
      <c r="H43" s="14" t="str">
        <f>IF(Table1[[#This Row],[late_deliveries ]]&gt;10,"ALERT","OK")</f>
        <v>OK</v>
      </c>
      <c r="I43" s="14" t="str">
        <f t="shared" si="1"/>
        <v>OK</v>
      </c>
    </row>
    <row r="44" spans="1:9" x14ac:dyDescent="0.25">
      <c r="A44" s="4">
        <v>43342</v>
      </c>
      <c r="B44" s="5">
        <v>4</v>
      </c>
      <c r="C44" s="5">
        <v>0</v>
      </c>
      <c r="D44" s="5">
        <v>4</v>
      </c>
      <c r="E44" s="5">
        <v>0</v>
      </c>
      <c r="F44" s="6" t="s">
        <v>0</v>
      </c>
      <c r="G44" s="14" t="str">
        <f>IF(Table1[[#This Row],[orders_cancelled]]&gt;3,"ALERT","OK")</f>
        <v>ALERT</v>
      </c>
      <c r="H44" s="14" t="str">
        <f>IF(Table1[[#This Row],[late_deliveries ]]&gt;10,"ALERT","OK")</f>
        <v>OK</v>
      </c>
      <c r="I44" s="14" t="str">
        <f t="shared" si="1"/>
        <v>ALERT</v>
      </c>
    </row>
    <row r="45" spans="1:9" x14ac:dyDescent="0.25">
      <c r="A45" s="4">
        <v>43343</v>
      </c>
      <c r="B45" s="5">
        <v>1</v>
      </c>
      <c r="C45" s="5">
        <v>0</v>
      </c>
      <c r="D45" s="5">
        <v>1</v>
      </c>
      <c r="E45" s="5">
        <v>0</v>
      </c>
      <c r="F45" s="6" t="s">
        <v>0</v>
      </c>
      <c r="G45" s="14" t="str">
        <f>IF(Table1[[#This Row],[orders_cancelled]]&gt;3,"ALERT","OK")</f>
        <v>OK</v>
      </c>
      <c r="H45" s="14" t="str">
        <f>IF(Table1[[#This Row],[late_deliveries ]]&gt;10,"ALERT","OK")</f>
        <v>OK</v>
      </c>
      <c r="I45" s="14" t="str">
        <f t="shared" si="1"/>
        <v>ALERT</v>
      </c>
    </row>
    <row r="46" spans="1:9" x14ac:dyDescent="0.25">
      <c r="A46" s="4">
        <v>43346</v>
      </c>
      <c r="B46" s="5">
        <v>4</v>
      </c>
      <c r="C46" s="5">
        <v>0</v>
      </c>
      <c r="D46" s="5">
        <v>3</v>
      </c>
      <c r="E46" s="5">
        <v>0</v>
      </c>
      <c r="F46" s="6" t="s">
        <v>0</v>
      </c>
      <c r="G46" s="14" t="str">
        <f>IF(Table1[[#This Row],[orders_cancelled]]&gt;3,"ALERT","OK")</f>
        <v>OK</v>
      </c>
      <c r="H46" s="14" t="str">
        <f>IF(Table1[[#This Row],[late_deliveries ]]&gt;10,"ALERT","OK")</f>
        <v>OK</v>
      </c>
      <c r="I46" s="14" t="str">
        <f t="shared" si="1"/>
        <v>ALERT</v>
      </c>
    </row>
    <row r="47" spans="1:9" x14ac:dyDescent="0.25">
      <c r="A47" s="4">
        <v>43349</v>
      </c>
      <c r="B47" s="5">
        <v>3</v>
      </c>
      <c r="C47" s="5">
        <v>0</v>
      </c>
      <c r="D47" s="5">
        <v>3</v>
      </c>
      <c r="E47" s="5">
        <v>0</v>
      </c>
      <c r="F47" s="6" t="s">
        <v>0</v>
      </c>
      <c r="G47" s="14" t="str">
        <f>IF(Table1[[#This Row],[orders_cancelled]]&gt;3,"ALERT","OK")</f>
        <v>OK</v>
      </c>
      <c r="H47" s="14" t="str">
        <f>IF(Table1[[#This Row],[late_deliveries ]]&gt;10,"ALERT","OK")</f>
        <v>OK</v>
      </c>
      <c r="I47" s="14" t="str">
        <f t="shared" si="1"/>
        <v>ALERT</v>
      </c>
    </row>
    <row r="48" spans="1:9" x14ac:dyDescent="0.25">
      <c r="A48" s="4">
        <v>43353</v>
      </c>
      <c r="B48" s="5">
        <v>1</v>
      </c>
      <c r="C48" s="5">
        <v>0</v>
      </c>
      <c r="D48" s="5">
        <v>1</v>
      </c>
      <c r="E48" s="5">
        <v>0</v>
      </c>
      <c r="F48" s="6" t="s">
        <v>0</v>
      </c>
      <c r="G48" s="14" t="str">
        <f>IF(Table1[[#This Row],[orders_cancelled]]&gt;3,"ALERT","OK")</f>
        <v>OK</v>
      </c>
      <c r="H48" s="14" t="str">
        <f>IF(Table1[[#This Row],[late_deliveries ]]&gt;10,"ALERT","OK")</f>
        <v>OK</v>
      </c>
      <c r="I48" s="14" t="str">
        <f t="shared" si="1"/>
        <v>ALERT</v>
      </c>
    </row>
    <row r="49" spans="1:9" x14ac:dyDescent="0.25">
      <c r="A49" s="4">
        <v>43354</v>
      </c>
      <c r="B49" s="5">
        <v>1</v>
      </c>
      <c r="C49" s="5">
        <v>0</v>
      </c>
      <c r="D49" s="5">
        <v>1</v>
      </c>
      <c r="E49" s="5">
        <v>0</v>
      </c>
      <c r="F49" s="6" t="s">
        <v>0</v>
      </c>
      <c r="G49" s="14" t="str">
        <f>IF(Table1[[#This Row],[orders_cancelled]]&gt;3,"ALERT","OK")</f>
        <v>OK</v>
      </c>
      <c r="H49" s="14" t="str">
        <f>IF(Table1[[#This Row],[late_deliveries ]]&gt;10,"ALERT","OK")</f>
        <v>OK</v>
      </c>
      <c r="I49" s="14" t="str">
        <f t="shared" si="1"/>
        <v>ALERT</v>
      </c>
    </row>
    <row r="50" spans="1:9" x14ac:dyDescent="0.25">
      <c r="A50" s="4">
        <v>43355</v>
      </c>
      <c r="B50" s="5">
        <v>1</v>
      </c>
      <c r="C50" s="5">
        <v>0</v>
      </c>
      <c r="D50" s="5">
        <v>1</v>
      </c>
      <c r="E50" s="5">
        <v>0</v>
      </c>
      <c r="F50" s="6" t="s">
        <v>0</v>
      </c>
      <c r="G50" s="14" t="str">
        <f>IF(Table1[[#This Row],[orders_cancelled]]&gt;3,"ALERT","OK")</f>
        <v>OK</v>
      </c>
      <c r="H50" s="14" t="str">
        <f>IF(Table1[[#This Row],[late_deliveries ]]&gt;10,"ALERT","OK")</f>
        <v>OK</v>
      </c>
      <c r="I50" s="14" t="str">
        <f t="shared" si="1"/>
        <v>ALERT</v>
      </c>
    </row>
    <row r="51" spans="1:9" x14ac:dyDescent="0.25">
      <c r="A51" s="4">
        <v>43356</v>
      </c>
      <c r="B51" s="5">
        <v>1</v>
      </c>
      <c r="C51" s="5">
        <v>0</v>
      </c>
      <c r="D51" s="5">
        <v>1</v>
      </c>
      <c r="E51" s="5">
        <v>0</v>
      </c>
      <c r="F51" s="6" t="s">
        <v>0</v>
      </c>
      <c r="G51" s="14" t="str">
        <f>IF(Table1[[#This Row],[orders_cancelled]]&gt;3,"ALERT","OK")</f>
        <v>OK</v>
      </c>
      <c r="H51" s="14" t="str">
        <f>IF(Table1[[#This Row],[late_deliveries ]]&gt;10,"ALERT","OK")</f>
        <v>OK</v>
      </c>
      <c r="I51" s="14" t="str">
        <f t="shared" si="1"/>
        <v>ALERT</v>
      </c>
    </row>
    <row r="52" spans="1:9" x14ac:dyDescent="0.25">
      <c r="A52" s="4">
        <v>43360</v>
      </c>
      <c r="B52" s="5">
        <v>1</v>
      </c>
      <c r="C52" s="5">
        <v>0</v>
      </c>
      <c r="D52" s="5">
        <v>1</v>
      </c>
      <c r="E52" s="5">
        <v>0</v>
      </c>
      <c r="F52" s="6" t="s">
        <v>0</v>
      </c>
      <c r="G52" s="14" t="str">
        <f>IF(Table1[[#This Row],[orders_cancelled]]&gt;3,"ALERT","OK")</f>
        <v>OK</v>
      </c>
      <c r="H52" s="14" t="str">
        <f>IF(Table1[[#This Row],[late_deliveries ]]&gt;10,"ALERT","OK")</f>
        <v>OK</v>
      </c>
      <c r="I52" s="14" t="str">
        <f t="shared" si="1"/>
        <v>ALERT</v>
      </c>
    </row>
    <row r="53" spans="1:9" x14ac:dyDescent="0.25">
      <c r="A53" s="4">
        <v>43363</v>
      </c>
      <c r="B53" s="5">
        <v>1</v>
      </c>
      <c r="C53" s="5">
        <v>0</v>
      </c>
      <c r="D53" s="5">
        <v>1</v>
      </c>
      <c r="E53" s="5">
        <v>0</v>
      </c>
      <c r="F53" s="6" t="s">
        <v>0</v>
      </c>
      <c r="G53" s="14" t="str">
        <f>IF(Table1[[#This Row],[orders_cancelled]]&gt;3,"ALERT","OK")</f>
        <v>OK</v>
      </c>
      <c r="H53" s="14" t="str">
        <f>IF(Table1[[#This Row],[late_deliveries ]]&gt;10,"ALERT","OK")</f>
        <v>OK</v>
      </c>
      <c r="I53" s="14" t="str">
        <f t="shared" si="1"/>
        <v>ALERT</v>
      </c>
    </row>
    <row r="54" spans="1:9" x14ac:dyDescent="0.25">
      <c r="A54" s="4">
        <v>43368</v>
      </c>
      <c r="B54" s="5">
        <v>1</v>
      </c>
      <c r="C54" s="5">
        <v>0</v>
      </c>
      <c r="D54" s="5">
        <v>1</v>
      </c>
      <c r="E54" s="5">
        <v>0</v>
      </c>
      <c r="F54" s="6" t="s">
        <v>0</v>
      </c>
      <c r="G54" s="14" t="str">
        <f>IF(Table1[[#This Row],[orders_cancelled]]&gt;3,"ALERT","OK")</f>
        <v>OK</v>
      </c>
      <c r="H54" s="14" t="str">
        <f>IF(Table1[[#This Row],[late_deliveries ]]&gt;10,"ALERT","OK")</f>
        <v>OK</v>
      </c>
      <c r="I54" s="14" t="str">
        <f t="shared" si="1"/>
        <v>ALERT</v>
      </c>
    </row>
    <row r="55" spans="1:9" x14ac:dyDescent="0.25">
      <c r="A55" s="4">
        <v>43369</v>
      </c>
      <c r="B55" s="5">
        <v>1</v>
      </c>
      <c r="C55" s="5">
        <v>0</v>
      </c>
      <c r="D55" s="5">
        <v>1</v>
      </c>
      <c r="E55" s="5">
        <v>0</v>
      </c>
      <c r="F55" s="6" t="s">
        <v>0</v>
      </c>
      <c r="G55" s="14" t="str">
        <f>IF(Table1[[#This Row],[orders_cancelled]]&gt;3,"ALERT","OK")</f>
        <v>OK</v>
      </c>
      <c r="H55" s="14" t="str">
        <f>IF(Table1[[#This Row],[late_deliveries ]]&gt;10,"ALERT","OK")</f>
        <v>OK</v>
      </c>
      <c r="I55" s="14" t="str">
        <f t="shared" si="1"/>
        <v>ALERT</v>
      </c>
    </row>
    <row r="56" spans="1:9" x14ac:dyDescent="0.25">
      <c r="A56" s="4">
        <v>43372</v>
      </c>
      <c r="B56" s="5">
        <v>1</v>
      </c>
      <c r="C56" s="5">
        <v>0</v>
      </c>
      <c r="D56" s="5">
        <v>1</v>
      </c>
      <c r="E56" s="5">
        <v>0</v>
      </c>
      <c r="F56" s="6" t="s">
        <v>0</v>
      </c>
      <c r="G56" s="14" t="str">
        <f>IF(Table1[[#This Row],[orders_cancelled]]&gt;3,"ALERT","OK")</f>
        <v>OK</v>
      </c>
      <c r="H56" s="14" t="str">
        <f>IF(Table1[[#This Row],[late_deliveries ]]&gt;10,"ALERT","OK")</f>
        <v>OK</v>
      </c>
      <c r="I56" s="14" t="str">
        <f t="shared" si="1"/>
        <v>ALERT</v>
      </c>
    </row>
    <row r="57" spans="1:9" x14ac:dyDescent="0.25">
      <c r="A57" s="4">
        <v>43374</v>
      </c>
      <c r="B57" s="5">
        <v>1</v>
      </c>
      <c r="C57" s="5">
        <v>0</v>
      </c>
      <c r="D57" s="5">
        <v>1</v>
      </c>
      <c r="E57" s="5">
        <v>0</v>
      </c>
      <c r="F57" s="6" t="s">
        <v>0</v>
      </c>
      <c r="G57" s="14" t="str">
        <f>IF(Table1[[#This Row],[orders_cancelled]]&gt;3,"ALERT","OK")</f>
        <v>OK</v>
      </c>
      <c r="H57" s="14" t="str">
        <f>IF(Table1[[#This Row],[late_deliveries ]]&gt;10,"ALERT","OK")</f>
        <v>OK</v>
      </c>
      <c r="I57" s="14" t="str">
        <f t="shared" si="1"/>
        <v>ALERT</v>
      </c>
    </row>
    <row r="58" spans="1:9" x14ac:dyDescent="0.25">
      <c r="A58" s="4">
        <v>43376</v>
      </c>
      <c r="B58" s="5">
        <v>1</v>
      </c>
      <c r="C58" s="5">
        <v>0</v>
      </c>
      <c r="D58" s="5">
        <v>1</v>
      </c>
      <c r="E58" s="5">
        <v>0</v>
      </c>
      <c r="F58" s="6" t="s">
        <v>0</v>
      </c>
      <c r="G58" s="14" t="str">
        <f>IF(Table1[[#This Row],[orders_cancelled]]&gt;3,"ALERT","OK")</f>
        <v>OK</v>
      </c>
      <c r="H58" s="14" t="str">
        <f>IF(Table1[[#This Row],[late_deliveries ]]&gt;10,"ALERT","OK")</f>
        <v>OK</v>
      </c>
      <c r="I58" s="14" t="str">
        <f t="shared" si="1"/>
        <v>ALERT</v>
      </c>
    </row>
    <row r="59" spans="1:9" x14ac:dyDescent="0.25">
      <c r="A59" s="4">
        <v>43389</v>
      </c>
      <c r="B59" s="5">
        <v>1</v>
      </c>
      <c r="C59" s="5">
        <v>0</v>
      </c>
      <c r="D59" s="5">
        <v>1</v>
      </c>
      <c r="E59" s="5">
        <v>0</v>
      </c>
      <c r="F59" s="6" t="s">
        <v>0</v>
      </c>
      <c r="G59" s="14" t="str">
        <f>IF(Table1[[#This Row],[orders_cancelled]]&gt;3,"ALERT","OK")</f>
        <v>OK</v>
      </c>
      <c r="H59" s="14" t="str">
        <f>IF(Table1[[#This Row],[late_deliveries ]]&gt;10,"ALERT","OK")</f>
        <v>OK</v>
      </c>
      <c r="I59" s="14" t="str">
        <f t="shared" si="1"/>
        <v>ALERT</v>
      </c>
    </row>
    <row r="60" spans="1:9" x14ac:dyDescent="0.25">
      <c r="A60" s="7">
        <v>43390</v>
      </c>
      <c r="B60" s="8">
        <v>1</v>
      </c>
      <c r="C60" s="8">
        <v>0</v>
      </c>
      <c r="D60" s="8">
        <v>1</v>
      </c>
      <c r="E60" s="8">
        <v>0</v>
      </c>
      <c r="F60" s="9" t="s">
        <v>0</v>
      </c>
      <c r="G60" s="15" t="str">
        <f>IF(Table1[[#This Row],[orders_cancelled]]&gt;3,"ALERT","OK")</f>
        <v>OK</v>
      </c>
      <c r="H60" s="15" t="str">
        <f>IF(Table1[[#This Row],[late_deliveries ]]&gt;10,"ALERT","OK")</f>
        <v>OK</v>
      </c>
      <c r="I60" s="15" t="str">
        <f t="shared" si="1"/>
        <v>ALERT</v>
      </c>
    </row>
  </sheetData>
  <conditionalFormatting sqref="G2:G60">
    <cfRule type="containsText" dxfId="14" priority="2" operator="containsText" text="ALERT">
      <formula>NOT(ISERROR(SEARCH("ALERT",G2)))</formula>
    </cfRule>
  </conditionalFormatting>
  <conditionalFormatting sqref="H2:I60">
    <cfRule type="containsText" dxfId="13" priority="1" operator="containsText" text="ALERT">
      <formula>NOT(ISERROR(SEARCH("ALERT",H2)))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9" sqref="B9"/>
    </sheetView>
  </sheetViews>
  <sheetFormatPr defaultRowHeight="15" x14ac:dyDescent="0.25"/>
  <cols>
    <col min="1" max="1" width="39.42578125" customWidth="1"/>
    <col min="2" max="2" width="16.42578125" customWidth="1"/>
  </cols>
  <sheetData>
    <row r="1" spans="1:2" ht="23.25" x14ac:dyDescent="0.35">
      <c r="A1" s="11" t="s">
        <v>7</v>
      </c>
      <c r="B1" s="11"/>
    </row>
    <row r="2" spans="1:2" x14ac:dyDescent="0.25">
      <c r="A2" s="10" t="s">
        <v>8</v>
      </c>
      <c r="B2" s="10" t="s">
        <v>9</v>
      </c>
    </row>
    <row r="3" spans="1:2" x14ac:dyDescent="0.25">
      <c r="A3" t="s">
        <v>10</v>
      </c>
      <c r="B3">
        <f>SUM(daily_orders_health_report!B2:B60)</f>
        <v>9529</v>
      </c>
    </row>
    <row r="4" spans="1:2" x14ac:dyDescent="0.25">
      <c r="A4" t="s">
        <v>11</v>
      </c>
      <c r="B4">
        <f>SUM(daily_orders_health_report!C2:C60)</f>
        <v>9284</v>
      </c>
    </row>
    <row r="5" spans="1:2" x14ac:dyDescent="0.25">
      <c r="A5" t="s">
        <v>12</v>
      </c>
      <c r="B5">
        <f>SUM(daily_orders_health_report!D2:D60)</f>
        <v>124</v>
      </c>
    </row>
    <row r="6" spans="1:2" x14ac:dyDescent="0.25">
      <c r="A6" t="s">
        <v>13</v>
      </c>
      <c r="B6">
        <f>SUM(daily_orders_health_report!E2:E60)</f>
        <v>815</v>
      </c>
    </row>
    <row r="7" spans="1:2" x14ac:dyDescent="0.25">
      <c r="A7" t="s">
        <v>14</v>
      </c>
      <c r="B7">
        <v>7.86</v>
      </c>
    </row>
    <row r="8" spans="1:2" x14ac:dyDescent="0.25">
      <c r="A8" t="s">
        <v>15</v>
      </c>
      <c r="B8" s="12">
        <f>B5/B3</f>
        <v>1.3012907965158988E-2</v>
      </c>
    </row>
    <row r="9" spans="1:2" x14ac:dyDescent="0.25">
      <c r="A9" t="s">
        <v>16</v>
      </c>
      <c r="B9" s="12">
        <f>B6/B4</f>
        <v>8.7785437311503664E-2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7" sqref="A7"/>
    </sheetView>
  </sheetViews>
  <sheetFormatPr defaultRowHeight="15" x14ac:dyDescent="0.25"/>
  <cols>
    <col min="1" max="1" width="139" customWidth="1"/>
  </cols>
  <sheetData>
    <row r="1" spans="1:1" ht="21" x14ac:dyDescent="0.35">
      <c r="A1" s="20" t="s">
        <v>20</v>
      </c>
    </row>
    <row r="3" spans="1:1" ht="18.75" x14ac:dyDescent="0.3">
      <c r="A3" s="19" t="s">
        <v>21</v>
      </c>
    </row>
    <row r="4" spans="1:1" ht="15.75" x14ac:dyDescent="0.25">
      <c r="A4" s="18" t="s">
        <v>30</v>
      </c>
    </row>
    <row r="6" spans="1:1" ht="18.75" x14ac:dyDescent="0.3">
      <c r="A6" s="19" t="s">
        <v>22</v>
      </c>
    </row>
    <row r="7" spans="1:1" ht="31.5" x14ac:dyDescent="0.25">
      <c r="A7" s="21" t="s">
        <v>23</v>
      </c>
    </row>
    <row r="9" spans="1:1" ht="18.75" x14ac:dyDescent="0.3">
      <c r="A9" s="19" t="s">
        <v>24</v>
      </c>
    </row>
    <row r="10" spans="1:1" ht="15.75" x14ac:dyDescent="0.25">
      <c r="A10" s="18" t="s">
        <v>28</v>
      </c>
    </row>
    <row r="11" spans="1:1" ht="15.75" x14ac:dyDescent="0.25">
      <c r="A11" s="18" t="s">
        <v>29</v>
      </c>
    </row>
    <row r="13" spans="1:1" ht="18.75" x14ac:dyDescent="0.3">
      <c r="A13" s="19" t="s">
        <v>25</v>
      </c>
    </row>
    <row r="14" spans="1:1" ht="15.75" x14ac:dyDescent="0.25">
      <c r="A14" s="18" t="s">
        <v>26</v>
      </c>
    </row>
    <row r="15" spans="1:1" ht="15.75" x14ac:dyDescent="0.25">
      <c r="A15" s="18" t="s">
        <v>27</v>
      </c>
    </row>
  </sheetData>
  <pageMargins left="0.7" right="0.7" top="0.75" bottom="0.75" header="0.3" footer="0.3"/>
</worksheet>
</file>