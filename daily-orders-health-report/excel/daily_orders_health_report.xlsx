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E:\SkillStack_26\SQL\olist_project\"/>
    </mc:Choice>
  </mc:AlternateContent>
  <bookViews>
    <workbookView xWindow="0" yWindow="0" windowWidth="20415" windowHeight="8070" firstSheet="3" activeTab="3"/>
  </bookViews>
  <sheets>
    <sheet name="daily_orders_health_report" sheetId="1" r:id="rId1"/>
    <sheet name="prt1_Summary" sheetId="2" r:id="rId2"/>
    <sheet name="prt1_Findings" sheetId="3" r:id="rId3"/>
    <sheet name="Part2_KPI_Data" sheetId="4" r:id="rId4"/>
    <sheet name="Part2_Category_Pivot" sheetId="5" r:id="rId5"/>
    <sheet name="Part2_Sparkline" sheetId="11" r:id="rId6"/>
    <sheet name="Part2_Summary" sheetId="12" r:id="rId7"/>
    <sheet name="Part2_Findings" sheetId="15" r:id="rId8"/>
  </sheets>
  <calcPr calcId="152511"/>
  <pivotCaches>
    <pivotCache cacheId="0" r:id="rId9"/>
  </pivotCaches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2" i="4"/>
  <c r="L2" i="4"/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B6" i="2"/>
  <c r="B5" i="2"/>
  <c r="B4" i="2"/>
  <c r="B9" i="2" s="1"/>
  <c r="B3" i="2"/>
  <c r="B8" i="2" l="1"/>
</calcChain>
</file>

<file path=xl/sharedStrings.xml><?xml version="1.0" encoding="utf-8"?>
<sst xmlns="http://schemas.openxmlformats.org/spreadsheetml/2006/main" count="4163" uniqueCount="161">
  <si>
    <t>NULL</t>
  </si>
  <si>
    <t>order_date</t>
  </si>
  <si>
    <t xml:space="preserve">orders_placed </t>
  </si>
  <si>
    <t>orders_delivered</t>
  </si>
  <si>
    <t>orders_cancelled</t>
  </si>
  <si>
    <t xml:space="preserve">late_deliveries </t>
  </si>
  <si>
    <t>average_delivery_days</t>
  </si>
  <si>
    <t xml:space="preserve">DAILY ORDERS HEALTH REPORT </t>
  </si>
  <si>
    <t>Metrics</t>
  </si>
  <si>
    <t>Value</t>
  </si>
  <si>
    <t xml:space="preserve">Orders Placed </t>
  </si>
  <si>
    <t xml:space="preserve">Orders Delivered </t>
  </si>
  <si>
    <t>Orders Cancelled</t>
  </si>
  <si>
    <t xml:space="preserve">Late Deliveries </t>
  </si>
  <si>
    <t>Average Delivery Days</t>
  </si>
  <si>
    <t>Cancellation Rate</t>
  </si>
  <si>
    <t>Late Delivery Rate</t>
  </si>
  <si>
    <t>Cancellation Flag</t>
  </si>
  <si>
    <t>Late Delivery Flag</t>
  </si>
  <si>
    <t>Delivery Time Flag</t>
  </si>
  <si>
    <t>KEY FINDINGS — DAILY ORDERS HEALTH</t>
  </si>
  <si>
    <t>1. Order Volume</t>
  </si>
  <si>
    <t>2. Delivery Performance</t>
  </si>
  <si>
    <t>9,284 orders were delivered, while 815 deliveries were classified as late. This represents a late-delivery rate of approximately 8.78% among delivered orders.</t>
  </si>
  <si>
    <t>3. Cancellation &amp; Operational Risk</t>
  </si>
  <si>
    <t>Overall Observation</t>
  </si>
  <si>
    <t xml:space="preserve">The analysis shows that delivery timeliness is a more prominent operational issue than cancellations during the period. </t>
  </si>
  <si>
    <t>The daily health flags provide a simple way to identify dates requiring further investigation.</t>
  </si>
  <si>
    <t xml:space="preserve">124 orders were cancelled, representing approximately 1.30% of orders placed. </t>
  </si>
  <si>
    <t>Daily monitoring also identified multiple dates where cancellations, late deliveries, or average delivery time exceeded the defined alert thresholds.</t>
  </si>
  <si>
    <t>9,529 orders were placed during the 90-day analysis period, providing a broad view of order volume and operational performance.</t>
  </si>
  <si>
    <t>order_year</t>
  </si>
  <si>
    <t>order_month</t>
  </si>
  <si>
    <t>month_name</t>
  </si>
  <si>
    <t>product-catogery_name</t>
  </si>
  <si>
    <t>total_revenue</t>
  </si>
  <si>
    <t>total_orders</t>
  </si>
  <si>
    <t>AOV</t>
  </si>
  <si>
    <t>avg_review_score</t>
  </si>
  <si>
    <t>cancelled_orders</t>
  </si>
  <si>
    <t>concellation_rate</t>
  </si>
  <si>
    <t>revenue_band</t>
  </si>
  <si>
    <t>September</t>
  </si>
  <si>
    <t>beleza_saude</t>
  </si>
  <si>
    <t>Fix</t>
  </si>
  <si>
    <t>moveis_decoracao</t>
  </si>
  <si>
    <t>telefonia</t>
  </si>
  <si>
    <t>October</t>
  </si>
  <si>
    <t>perfumaria</t>
  </si>
  <si>
    <t>brinquedos</t>
  </si>
  <si>
    <t>consoles_games</t>
  </si>
  <si>
    <t>relogios_presentes</t>
  </si>
  <si>
    <t>esporte_lazer</t>
  </si>
  <si>
    <t>automotivo</t>
  </si>
  <si>
    <t>climatizacao</t>
  </si>
  <si>
    <t>bebes</t>
  </si>
  <si>
    <t>informatica_acessorios</t>
  </si>
  <si>
    <t>ferramentas_jardim</t>
  </si>
  <si>
    <t>eletronicos</t>
  </si>
  <si>
    <t>market_place</t>
  </si>
  <si>
    <t>moveis_escritorio</t>
  </si>
  <si>
    <t>utilidades_domesticas</t>
  </si>
  <si>
    <t>cool_stuff</t>
  </si>
  <si>
    <t>telefonia_fixa</t>
  </si>
  <si>
    <t>pet_shop</t>
  </si>
  <si>
    <t>fashion_bolsas_e_acessorios</t>
  </si>
  <si>
    <t>cama_mesa_banho</t>
  </si>
  <si>
    <t>industria_comercio_e_negocios</t>
  </si>
  <si>
    <t>livros_tecnicos</t>
  </si>
  <si>
    <t>audio</t>
  </si>
  <si>
    <t>fraldas_higiene</t>
  </si>
  <si>
    <t>livros_interesse_geral</t>
  </si>
  <si>
    <t>alimentos</t>
  </si>
  <si>
    <t>fashion_roupa_feminina</t>
  </si>
  <si>
    <t>fashion_calcados</t>
  </si>
  <si>
    <t>fashion_roupa_masculina</t>
  </si>
  <si>
    <t>December</t>
  </si>
  <si>
    <t>January</t>
  </si>
  <si>
    <t>pcs</t>
  </si>
  <si>
    <t>eletrodomesticos_2</t>
  </si>
  <si>
    <t>eletroportateis</t>
  </si>
  <si>
    <t>papelaria</t>
  </si>
  <si>
    <t>moveis_sala</t>
  </si>
  <si>
    <t>malas_acessorios</t>
  </si>
  <si>
    <t>instrumentos_musicais</t>
  </si>
  <si>
    <t>construcao_ferramentas_construcao</t>
  </si>
  <si>
    <t>seguros_e_servicos</t>
  </si>
  <si>
    <t>fashion_underwear_e_moda_praia</t>
  </si>
  <si>
    <t>moveis_cozinha_area_de_servico_jantar_e_jardim</t>
  </si>
  <si>
    <t>moveis_quarto</t>
  </si>
  <si>
    <t>casa_conforto_2</t>
  </si>
  <si>
    <t>agro_industria_e_comercio</t>
  </si>
  <si>
    <t>dvds_blu_ray</t>
  </si>
  <si>
    <t>musica</t>
  </si>
  <si>
    <t>February</t>
  </si>
  <si>
    <t>tablets_impressao_imagem</t>
  </si>
  <si>
    <t>eletrodomesticos</t>
  </si>
  <si>
    <t>casa_construcao</t>
  </si>
  <si>
    <t>construcao_ferramentas_jardim</t>
  </si>
  <si>
    <t>casa_conforto</t>
  </si>
  <si>
    <t>construcao_ferramentas_seguranca</t>
  </si>
  <si>
    <t>livros_importados</t>
  </si>
  <si>
    <t>cine_foto</t>
  </si>
  <si>
    <t>March</t>
  </si>
  <si>
    <t>bebidas</t>
  </si>
  <si>
    <t>artes</t>
  </si>
  <si>
    <t>alimentos_bebidas</t>
  </si>
  <si>
    <t>sinalizacao_e_seguranca</t>
  </si>
  <si>
    <t>fashion_esporte</t>
  </si>
  <si>
    <t>April</t>
  </si>
  <si>
    <t>construcao_ferramentas_ferramentas</t>
  </si>
  <si>
    <t>pc_gamer</t>
  </si>
  <si>
    <t>moveis_colchao_e_estofado</t>
  </si>
  <si>
    <t>artigos_de_natal</t>
  </si>
  <si>
    <t>la_cuisine</t>
  </si>
  <si>
    <t>May</t>
  </si>
  <si>
    <t>fashion_roupa_infanto_juvenil</t>
  </si>
  <si>
    <t>artes_e_artesanato</t>
  </si>
  <si>
    <t>June</t>
  </si>
  <si>
    <t>portateis_casa_forno_e_cafe</t>
  </si>
  <si>
    <t>July</t>
  </si>
  <si>
    <t>construcao_ferramentas_iluminacao</t>
  </si>
  <si>
    <t>cds_dvds_musicais</t>
  </si>
  <si>
    <t>artigos_de_festas</t>
  </si>
  <si>
    <t>August</t>
  </si>
  <si>
    <t>November</t>
  </si>
  <si>
    <t>flores</t>
  </si>
  <si>
    <t>portateis_cozinha_e_preparadores_de_alimentos</t>
  </si>
  <si>
    <t>Grand Total</t>
  </si>
  <si>
    <t>Sum of total_revenue</t>
  </si>
  <si>
    <t>Year_Month</t>
  </si>
  <si>
    <t>Year_Month_Date</t>
  </si>
  <si>
    <t>Revenue Trend</t>
  </si>
  <si>
    <t>Product Category</t>
  </si>
  <si>
    <t>Monthly Revenue</t>
  </si>
  <si>
    <t/>
  </si>
  <si>
    <t>CATEGORY KPI SCORECARD — OLIST E-COMMERCE</t>
  </si>
  <si>
    <t>Total Revenue</t>
  </si>
  <si>
    <t>Total Orders</t>
  </si>
  <si>
    <t>Average Order Value</t>
  </si>
  <si>
    <t>Top Revenue Category</t>
  </si>
  <si>
    <t>Top Category Revenue</t>
  </si>
  <si>
    <t>Highest AOV — Top 10</t>
  </si>
  <si>
    <t>Highest AOV</t>
  </si>
  <si>
    <t>Top 10 Revenue Share</t>
  </si>
  <si>
    <t>Bottom 10 Revenue Share</t>
  </si>
  <si>
    <t>KEY FINDINGS — CATEGORY KPI SCORECARD</t>
  </si>
  <si>
    <t>1. Revenue is Highly Concentrated</t>
  </si>
  <si>
    <r>
      <t xml:space="preserve">The Top 10 revenue categories generated approximately </t>
    </r>
    <r>
      <rPr>
        <b/>
        <sz val="11"/>
        <color theme="1"/>
        <rFont val="Calibri"/>
        <family val="2"/>
        <scheme val="minor"/>
      </rPr>
      <t>₹8.48M</t>
    </r>
    <r>
      <rPr>
        <sz val="11"/>
        <color theme="1"/>
        <rFont val="Calibri"/>
        <family val="2"/>
        <scheme val="minor"/>
      </rPr>
      <t xml:space="preserve">, representing </t>
    </r>
    <r>
      <rPr>
        <b/>
        <sz val="11"/>
        <color theme="1"/>
        <rFont val="Calibri"/>
        <family val="2"/>
        <scheme val="minor"/>
      </rPr>
      <t>62.36% of total revenue</t>
    </r>
    <r>
      <rPr>
        <sz val="11"/>
        <color theme="1"/>
        <rFont val="Calibri"/>
        <family val="2"/>
        <scheme val="minor"/>
      </rPr>
      <t xml:space="preserve">, while the Bottom 10 contributed only </t>
    </r>
    <r>
      <rPr>
        <b/>
        <sz val="11"/>
        <color theme="1"/>
        <rFont val="Calibri"/>
        <family val="2"/>
        <scheme val="minor"/>
      </rPr>
      <t>1.33%</t>
    </r>
    <r>
      <rPr>
        <sz val="11"/>
        <color theme="1"/>
        <rFont val="Calibri"/>
        <family val="2"/>
        <scheme val="minor"/>
      </rPr>
      <t xml:space="preserve">. </t>
    </r>
  </si>
  <si>
    <t>This indicates that a relatively small group of categories drives a large share of the marketplace's revenue.</t>
  </si>
  <si>
    <t>2. Revenue Scale Comes From Different Drivers</t>
  </si>
  <si>
    <t>This shows that similar revenue levels can be achieved through very different combinations of order volume and basket value.</t>
  </si>
  <si>
    <r>
      <rPr>
        <b/>
        <sz val="10"/>
        <color theme="1"/>
        <rFont val="Arial Unicode MS"/>
        <family val="2"/>
      </rPr>
      <t>relogios_presentes</t>
    </r>
    <r>
      <rPr>
        <sz val="11"/>
        <color theme="1"/>
        <rFont val="Calibri"/>
        <family val="2"/>
        <scheme val="minor"/>
      </rPr>
      <t xml:space="preserve"> generated approximately </t>
    </r>
    <r>
      <rPr>
        <b/>
        <sz val="11"/>
        <color theme="1"/>
        <rFont val="Calibri"/>
        <family val="2"/>
        <scheme val="minor"/>
      </rPr>
      <t>₹1.21M</t>
    </r>
    <r>
      <rPr>
        <sz val="11"/>
        <color theme="1"/>
        <rFont val="Calibri"/>
        <family val="2"/>
        <scheme val="minor"/>
      </rPr>
      <t xml:space="preserve"> from </t>
    </r>
    <r>
      <rPr>
        <b/>
        <sz val="11"/>
        <color theme="1"/>
        <rFont val="Calibri"/>
        <family val="2"/>
        <scheme val="minor"/>
      </rPr>
      <t>5,624 orders</t>
    </r>
    <r>
      <rPr>
        <sz val="11"/>
        <color theme="1"/>
        <rFont val="Calibri"/>
        <family val="2"/>
        <scheme val="minor"/>
      </rPr>
      <t xml:space="preserve"> with an AOV of </t>
    </r>
    <r>
      <rPr>
        <b/>
        <sz val="11"/>
        <color theme="1"/>
        <rFont val="Calibri"/>
        <family val="2"/>
        <scheme val="minor"/>
      </rPr>
      <t>₹214.26</t>
    </r>
    <r>
      <rPr>
        <sz val="11"/>
        <color theme="1"/>
        <rFont val="Calibri"/>
        <family val="2"/>
        <scheme val="minor"/>
      </rPr>
      <t xml:space="preserve">, while </t>
    </r>
    <r>
      <rPr>
        <b/>
        <sz val="10"/>
        <color theme="1"/>
        <rFont val="Arial Unicode MS"/>
        <family val="2"/>
      </rPr>
      <t>beleza_saude</t>
    </r>
    <r>
      <rPr>
        <sz val="11"/>
        <color theme="1"/>
        <rFont val="Calibri"/>
        <family val="2"/>
        <scheme val="minor"/>
      </rPr>
      <t xml:space="preserve"> generated approximately </t>
    </r>
    <r>
      <rPr>
        <b/>
        <sz val="11"/>
        <color theme="1"/>
        <rFont val="Calibri"/>
        <family val="2"/>
        <scheme val="minor"/>
      </rPr>
      <t>₹1.26M</t>
    </r>
    <r>
      <rPr>
        <sz val="11"/>
        <color theme="1"/>
        <rFont val="Calibri"/>
        <family val="2"/>
        <scheme val="minor"/>
      </rPr>
      <t xml:space="preserve"> from </t>
    </r>
    <r>
      <rPr>
        <b/>
        <sz val="11"/>
        <color theme="1"/>
        <rFont val="Calibri"/>
        <family val="2"/>
        <scheme val="minor"/>
      </rPr>
      <t>8,836 orders</t>
    </r>
    <r>
      <rPr>
        <sz val="11"/>
        <color theme="1"/>
        <rFont val="Calibri"/>
        <family val="2"/>
        <scheme val="minor"/>
      </rPr>
      <t xml:space="preserve"> at an AOV of </t>
    </r>
    <r>
      <rPr>
        <b/>
        <sz val="11"/>
        <color theme="1"/>
        <rFont val="Calibri"/>
        <family val="2"/>
        <scheme val="minor"/>
      </rPr>
      <t>₹142.45</t>
    </r>
    <r>
      <rPr>
        <sz val="11"/>
        <color theme="1"/>
        <rFont val="Calibri"/>
        <family val="2"/>
        <scheme val="minor"/>
      </rPr>
      <t xml:space="preserve">. </t>
    </r>
  </si>
  <si>
    <t>3. Low Revenue Does Not Necessarily Mean Low Order Activity</t>
  </si>
  <si>
    <t>Several Bottom-10 categories still recorded meaningful order volumes.</t>
  </si>
  <si>
    <r>
      <t xml:space="preserve">For example, </t>
    </r>
    <r>
      <rPr>
        <sz val="10"/>
        <color theme="1"/>
        <rFont val="Arial Unicode MS"/>
        <family val="2"/>
      </rPr>
      <t>bebidas</t>
    </r>
    <r>
      <rPr>
        <sz val="11"/>
        <color theme="1"/>
        <rFont val="Calibri"/>
        <family val="2"/>
        <scheme val="minor"/>
      </rPr>
      <t xml:space="preserve"> generated </t>
    </r>
    <r>
      <rPr>
        <b/>
        <sz val="11"/>
        <color theme="1"/>
        <rFont val="Calibri"/>
        <family val="2"/>
        <scheme val="minor"/>
      </rPr>
      <t>297 orders</t>
    </r>
    <r>
      <rPr>
        <sz val="11"/>
        <color theme="1"/>
        <rFont val="Calibri"/>
        <family val="2"/>
        <scheme val="minor"/>
      </rPr>
      <t xml:space="preserve"> but only ₹22.43K in revenue at an AOV of ₹75.52, while </t>
    </r>
    <r>
      <rPr>
        <sz val="10"/>
        <color theme="1"/>
        <rFont val="Arial Unicode MS"/>
        <family val="2"/>
      </rPr>
      <t>alimentos_bebidas</t>
    </r>
    <r>
      <rPr>
        <sz val="11"/>
        <color theme="1"/>
        <rFont val="Calibri"/>
        <family val="2"/>
        <scheme val="minor"/>
      </rPr>
      <t xml:space="preserve"> recorded </t>
    </r>
    <r>
      <rPr>
        <b/>
        <sz val="11"/>
        <color theme="1"/>
        <rFont val="Calibri"/>
        <family val="2"/>
        <scheme val="minor"/>
      </rPr>
      <t>227 orders</t>
    </r>
    <r>
      <rPr>
        <sz val="11"/>
        <color theme="1"/>
        <rFont val="Calibri"/>
        <family val="2"/>
        <scheme val="minor"/>
      </rPr>
      <t xml:space="preserve"> at an AOV of ₹66.87.</t>
    </r>
  </si>
  <si>
    <r>
      <t xml:space="preserve">This suggests that low revenue in these categories is influenced by </t>
    </r>
    <r>
      <rPr>
        <b/>
        <sz val="11"/>
        <color theme="1"/>
        <rFont val="Calibri"/>
        <family val="2"/>
        <scheme val="minor"/>
      </rPr>
      <t>lower basket value</t>
    </r>
    <r>
      <rPr>
        <sz val="11"/>
        <color theme="1"/>
        <rFont val="Calibri"/>
        <family val="2"/>
        <scheme val="minor"/>
      </rPr>
      <t>, not simply lack of order activity.</t>
    </r>
  </si>
  <si>
    <t>The category scorecard shows that marketplace revenue is concentrated among a limited number of categories, but the underlying revenue drivers differ.</t>
  </si>
  <si>
    <t>Some categories rely on high order volume, while others achieve comparable revenue through higher-value orders.</t>
  </si>
  <si>
    <r>
      <t xml:space="preserve">At the lower end of the revenue distribution, several categories still generate meaningful order activity, indicating that </t>
    </r>
    <r>
      <rPr>
        <b/>
        <sz val="11"/>
        <color theme="1"/>
        <rFont val="Calibri"/>
        <family val="2"/>
        <scheme val="minor"/>
      </rPr>
      <t>AOV is an important dimension for understanding category performance alongside revenue and order volume.</t>
    </r>
  </si>
  <si>
    <r>
      <t xml:space="preserve">The analysis therefore moves beyond simple category ranking and provides a framework for investigating </t>
    </r>
    <r>
      <rPr>
        <b/>
        <sz val="11"/>
        <color theme="1"/>
        <rFont val="Calibri"/>
        <family val="2"/>
        <scheme val="minor"/>
      </rPr>
      <t>revenue concentration, basket value, order volume, customer experience, and cancellation patterns</t>
    </r>
    <r>
      <rPr>
        <sz val="11"/>
        <color theme="1"/>
        <rFont val="Calibri"/>
        <family val="2"/>
        <scheme val="minor"/>
      </rPr>
      <t xml:space="preserve"> at the category-month level.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</si>
</sst>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₹&quot;\ #,##0.00;[Red]&quot;₹&quot;\ \-#,##0.00"/>
    <numFmt numFmtId="164" formatCode="mmm/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2" tint="-0.89999084444715716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sz val="20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/>
    </xf>
    <xf numFmtId="10" fontId="0" fillId="0" borderId="0" xfId="1" applyNumberFormat="1" applyFont="1"/>
    <xf numFmtId="0" fontId="18" fillId="0" borderId="0" xfId="0" applyFont="1"/>
    <xf numFmtId="0" fontId="20" fillId="35" borderId="0" xfId="0" applyFont="1" applyFill="1"/>
    <xf numFmtId="0" fontId="21" fillId="36" borderId="0" xfId="0" applyFont="1" applyFill="1" applyAlignment="1">
      <alignment horizontal="center"/>
    </xf>
    <xf numFmtId="0" fontId="18" fillId="0" borderId="0" xfId="0" applyFont="1" applyAlignment="1">
      <alignment wrapText="1"/>
    </xf>
    <xf numFmtId="0" fontId="0" fillId="37" borderId="0" xfId="0" applyFill="1"/>
    <xf numFmtId="0" fontId="22" fillId="0" borderId="14" xfId="0" applyFont="1" applyBorder="1"/>
    <xf numFmtId="0" fontId="22" fillId="0" borderId="10" xfId="0" applyFont="1" applyBorder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22" fillId="0" borderId="18" xfId="0" applyFont="1" applyBorder="1"/>
    <xf numFmtId="14" fontId="22" fillId="0" borderId="14" xfId="0" applyNumberFormat="1" applyFont="1" applyBorder="1"/>
    <xf numFmtId="0" fontId="22" fillId="0" borderId="12" xfId="0" applyFont="1" applyBorder="1" applyAlignment="1">
      <alignment horizontal="center"/>
    </xf>
    <xf numFmtId="0" fontId="22" fillId="0" borderId="10" xfId="0" applyFont="1" applyBorder="1" applyAlignment="1">
      <alignment horizontal="right"/>
    </xf>
    <xf numFmtId="0" fontId="22" fillId="0" borderId="10" xfId="0" applyFont="1" applyBorder="1" applyAlignment="1">
      <alignment horizontal="center"/>
    </xf>
    <xf numFmtId="14" fontId="22" fillId="0" borderId="16" xfId="0" applyNumberFormat="1" applyFont="1" applyBorder="1"/>
    <xf numFmtId="0" fontId="22" fillId="0" borderId="17" xfId="0" applyFont="1" applyBorder="1" applyAlignment="1">
      <alignment horizontal="center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3" fillId="33" borderId="10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4" fontId="22" fillId="0" borderId="12" xfId="0" applyNumberFormat="1" applyFont="1" applyBorder="1"/>
    <xf numFmtId="0" fontId="18" fillId="0" borderId="10" xfId="0" applyFont="1" applyBorder="1"/>
    <xf numFmtId="0" fontId="18" fillId="0" borderId="10" xfId="0" applyFont="1" applyBorder="1" applyAlignment="1">
      <alignment horizontal="left"/>
    </xf>
    <xf numFmtId="0" fontId="18" fillId="0" borderId="10" xfId="0" applyNumberFormat="1" applyFont="1" applyBorder="1"/>
    <xf numFmtId="0" fontId="27" fillId="0" borderId="10" xfId="0" pivotButton="1" applyFont="1" applyBorder="1"/>
    <xf numFmtId="0" fontId="27" fillId="0" borderId="10" xfId="0" applyFont="1" applyBorder="1"/>
    <xf numFmtId="0" fontId="27" fillId="0" borderId="10" xfId="0" applyFont="1" applyBorder="1" applyAlignment="1">
      <alignment horizontal="left"/>
    </xf>
    <xf numFmtId="0" fontId="27" fillId="0" borderId="10" xfId="0" applyNumberFormat="1" applyFont="1" applyBorder="1"/>
    <xf numFmtId="0" fontId="21" fillId="0" borderId="10" xfId="0" pivotButton="1" applyFont="1" applyBorder="1" applyAlignment="1">
      <alignment horizontal="center" vertical="center"/>
    </xf>
    <xf numFmtId="164" fontId="21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7" fillId="0" borderId="10" xfId="0" pivotButton="1" applyFont="1" applyBorder="1" applyAlignment="1">
      <alignment horizontal="center" vertical="center"/>
    </xf>
    <xf numFmtId="0" fontId="18" fillId="0" borderId="10" xfId="0" pivotButton="1" applyFont="1" applyBorder="1" applyAlignment="1">
      <alignment horizontal="center" vertical="center"/>
    </xf>
    <xf numFmtId="0" fontId="26" fillId="0" borderId="10" xfId="0" pivotButton="1" applyFont="1" applyBorder="1" applyAlignment="1">
      <alignment horizontal="center" vertical="center"/>
    </xf>
    <xf numFmtId="164" fontId="26" fillId="0" borderId="10" xfId="0" applyNumberFormat="1" applyFont="1" applyBorder="1" applyAlignment="1">
      <alignment horizontal="center" vertical="center"/>
    </xf>
    <xf numFmtId="4" fontId="18" fillId="0" borderId="10" xfId="0" applyNumberFormat="1" applyFont="1" applyBorder="1"/>
    <xf numFmtId="0" fontId="18" fillId="38" borderId="10" xfId="0" applyFont="1" applyFill="1" applyBorder="1" applyAlignment="1">
      <alignment horizontal="center" vertical="center"/>
    </xf>
    <xf numFmtId="0" fontId="0" fillId="37" borderId="10" xfId="0" applyFill="1" applyBorder="1"/>
    <xf numFmtId="0" fontId="16" fillId="37" borderId="10" xfId="0" applyFont="1" applyFill="1" applyBorder="1"/>
    <xf numFmtId="0" fontId="0" fillId="39" borderId="10" xfId="0" applyFill="1" applyBorder="1"/>
    <xf numFmtId="0" fontId="19" fillId="34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16" fillId="0" borderId="11" xfId="0" applyFont="1" applyBorder="1" applyAlignment="1">
      <alignment horizontal="center" vertical="center"/>
    </xf>
    <xf numFmtId="0" fontId="16" fillId="0" borderId="13" xfId="0" applyFont="1" applyBorder="1" applyAlignment="1">
      <alignment horizontal="right" vertical="center"/>
    </xf>
    <xf numFmtId="0" fontId="0" fillId="0" borderId="14" xfId="0" applyBorder="1" applyAlignment="1">
      <alignment vertical="center"/>
    </xf>
    <xf numFmtId="8" fontId="0" fillId="0" borderId="15" xfId="0" applyNumberFormat="1" applyBorder="1" applyAlignment="1">
      <alignment horizontal="right" vertical="center"/>
    </xf>
    <xf numFmtId="3" fontId="0" fillId="0" borderId="15" xfId="0" applyNumberFormat="1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10" fontId="0" fillId="0" borderId="15" xfId="0" applyNumberFormat="1" applyBorder="1" applyAlignment="1">
      <alignment horizontal="right" vertical="center"/>
    </xf>
    <xf numFmtId="0" fontId="0" fillId="0" borderId="16" xfId="0" applyBorder="1" applyAlignment="1">
      <alignment vertical="center"/>
    </xf>
    <xf numFmtId="10" fontId="0" fillId="0" borderId="18" xfId="0" applyNumberFormat="1" applyBorder="1" applyAlignment="1">
      <alignment horizontal="right" vertical="center"/>
    </xf>
    <xf numFmtId="0" fontId="0" fillId="0" borderId="0" xfId="0" applyAlignment="1">
      <alignment wrapText="1"/>
    </xf>
    <xf numFmtId="0" fontId="20" fillId="38" borderId="0" xfId="0" applyFont="1" applyFill="1" applyAlignment="1">
      <alignment horizontal="center"/>
    </xf>
    <xf numFmtId="0" fontId="22" fillId="0" borderId="15" xfId="0" applyFont="1" applyBorder="1" applyAlignment="1">
      <alignment horizontal="right"/>
    </xf>
    <xf numFmtId="0" fontId="22" fillId="0" borderId="12" xfId="0" applyFont="1" applyBorder="1" applyAlignment="1">
      <alignment horizontal="right"/>
    </xf>
    <xf numFmtId="0" fontId="22" fillId="0" borderId="10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0" fillId="0" borderId="0" xfId="0" applyFont="1"/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8" fillId="0" borderId="0" xfId="0" applyFont="1" applyAlignment="1">
      <alignment wrapText="1"/>
    </xf>
    <xf numFmtId="0" fontId="20" fillId="38" borderId="0" xfId="0" applyFont="1" applyFill="1" applyAlignment="1">
      <alignment horizontal="left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6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i val="0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i val="0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2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theme="2" tint="-0.89999084444715716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alignment horizontal="center" readingOrder="0"/>
    </dxf>
    <dxf>
      <alignment vertical="center" readingOrder="0"/>
    </dxf>
    <dxf>
      <numFmt numFmtId="4" formatCode="#,##0.0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i val="0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i val="0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baseline="0"/>
              <a:t>Daily Orders Placed</a:t>
            </a:r>
            <a:endParaRPr lang="en-US" sz="20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daily_orders_health_report!$B$1</c:f>
              <c:strCache>
                <c:ptCount val="1"/>
                <c:pt idx="0">
                  <c:v>orders_placed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daily_orders_health_report!$A$2:$A$60</c:f>
              <c:numCache>
                <c:formatCode>m/d/yyyy</c:formatCode>
                <c:ptCount val="59"/>
                <c:pt idx="0">
                  <c:v>43300</c:v>
                </c:pt>
                <c:pt idx="1">
                  <c:v>43301</c:v>
                </c:pt>
                <c:pt idx="2">
                  <c:v>43302</c:v>
                </c:pt>
                <c:pt idx="3">
                  <c:v>43303</c:v>
                </c:pt>
                <c:pt idx="4">
                  <c:v>43304</c:v>
                </c:pt>
                <c:pt idx="5">
                  <c:v>43305</c:v>
                </c:pt>
                <c:pt idx="6">
                  <c:v>43306</c:v>
                </c:pt>
                <c:pt idx="7">
                  <c:v>43307</c:v>
                </c:pt>
                <c:pt idx="8">
                  <c:v>43308</c:v>
                </c:pt>
                <c:pt idx="9">
                  <c:v>43309</c:v>
                </c:pt>
                <c:pt idx="10">
                  <c:v>43310</c:v>
                </c:pt>
                <c:pt idx="11">
                  <c:v>43311</c:v>
                </c:pt>
                <c:pt idx="12">
                  <c:v>43312</c:v>
                </c:pt>
                <c:pt idx="13">
                  <c:v>43313</c:v>
                </c:pt>
                <c:pt idx="14">
                  <c:v>43314</c:v>
                </c:pt>
                <c:pt idx="15">
                  <c:v>43315</c:v>
                </c:pt>
                <c:pt idx="16">
                  <c:v>43316</c:v>
                </c:pt>
                <c:pt idx="17">
                  <c:v>43317</c:v>
                </c:pt>
                <c:pt idx="18">
                  <c:v>43318</c:v>
                </c:pt>
                <c:pt idx="19">
                  <c:v>43319</c:v>
                </c:pt>
                <c:pt idx="20">
                  <c:v>43320</c:v>
                </c:pt>
                <c:pt idx="21">
                  <c:v>43321</c:v>
                </c:pt>
                <c:pt idx="22">
                  <c:v>43322</c:v>
                </c:pt>
                <c:pt idx="23">
                  <c:v>43323</c:v>
                </c:pt>
                <c:pt idx="24">
                  <c:v>43324</c:v>
                </c:pt>
                <c:pt idx="25">
                  <c:v>43325</c:v>
                </c:pt>
                <c:pt idx="26">
                  <c:v>43326</c:v>
                </c:pt>
                <c:pt idx="27">
                  <c:v>43327</c:v>
                </c:pt>
                <c:pt idx="28">
                  <c:v>43328</c:v>
                </c:pt>
                <c:pt idx="29">
                  <c:v>43329</c:v>
                </c:pt>
                <c:pt idx="30">
                  <c:v>43330</c:v>
                </c:pt>
                <c:pt idx="31">
                  <c:v>43331</c:v>
                </c:pt>
                <c:pt idx="32">
                  <c:v>43332</c:v>
                </c:pt>
                <c:pt idx="33">
                  <c:v>43333</c:v>
                </c:pt>
                <c:pt idx="34">
                  <c:v>43334</c:v>
                </c:pt>
                <c:pt idx="35">
                  <c:v>43335</c:v>
                </c:pt>
                <c:pt idx="36">
                  <c:v>43336</c:v>
                </c:pt>
                <c:pt idx="37">
                  <c:v>43337</c:v>
                </c:pt>
                <c:pt idx="38">
                  <c:v>43338</c:v>
                </c:pt>
                <c:pt idx="39">
                  <c:v>43339</c:v>
                </c:pt>
                <c:pt idx="40">
                  <c:v>43340</c:v>
                </c:pt>
                <c:pt idx="41">
                  <c:v>43341</c:v>
                </c:pt>
                <c:pt idx="42">
                  <c:v>43342</c:v>
                </c:pt>
                <c:pt idx="43">
                  <c:v>43343</c:v>
                </c:pt>
                <c:pt idx="44">
                  <c:v>43346</c:v>
                </c:pt>
                <c:pt idx="45">
                  <c:v>43349</c:v>
                </c:pt>
                <c:pt idx="46">
                  <c:v>43353</c:v>
                </c:pt>
                <c:pt idx="47">
                  <c:v>43354</c:v>
                </c:pt>
                <c:pt idx="48">
                  <c:v>43355</c:v>
                </c:pt>
                <c:pt idx="49">
                  <c:v>43356</c:v>
                </c:pt>
                <c:pt idx="50">
                  <c:v>43360</c:v>
                </c:pt>
                <c:pt idx="51">
                  <c:v>43363</c:v>
                </c:pt>
                <c:pt idx="52">
                  <c:v>43368</c:v>
                </c:pt>
                <c:pt idx="53">
                  <c:v>43369</c:v>
                </c:pt>
                <c:pt idx="54">
                  <c:v>43372</c:v>
                </c:pt>
                <c:pt idx="55">
                  <c:v>43374</c:v>
                </c:pt>
                <c:pt idx="56">
                  <c:v>43376</c:v>
                </c:pt>
                <c:pt idx="57">
                  <c:v>43389</c:v>
                </c:pt>
                <c:pt idx="58">
                  <c:v>43390</c:v>
                </c:pt>
              </c:numCache>
            </c:numRef>
          </c:cat>
          <c:val>
            <c:numRef>
              <c:f>daily_orders_health_report!$B$2:$B$60</c:f>
              <c:numCache>
                <c:formatCode>General</c:formatCode>
                <c:ptCount val="59"/>
                <c:pt idx="0">
                  <c:v>89</c:v>
                </c:pt>
                <c:pt idx="1">
                  <c:v>250</c:v>
                </c:pt>
                <c:pt idx="2">
                  <c:v>187</c:v>
                </c:pt>
                <c:pt idx="3">
                  <c:v>215</c:v>
                </c:pt>
                <c:pt idx="4">
                  <c:v>307</c:v>
                </c:pt>
                <c:pt idx="5">
                  <c:v>271</c:v>
                </c:pt>
                <c:pt idx="6">
                  <c:v>268</c:v>
                </c:pt>
                <c:pt idx="7">
                  <c:v>247</c:v>
                </c:pt>
                <c:pt idx="8">
                  <c:v>189</c:v>
                </c:pt>
                <c:pt idx="9">
                  <c:v>176</c:v>
                </c:pt>
                <c:pt idx="10">
                  <c:v>188</c:v>
                </c:pt>
                <c:pt idx="11">
                  <c:v>288</c:v>
                </c:pt>
                <c:pt idx="12">
                  <c:v>322</c:v>
                </c:pt>
                <c:pt idx="13">
                  <c:v>311</c:v>
                </c:pt>
                <c:pt idx="14">
                  <c:v>302</c:v>
                </c:pt>
                <c:pt idx="15">
                  <c:v>314</c:v>
                </c:pt>
                <c:pt idx="16">
                  <c:v>245</c:v>
                </c:pt>
                <c:pt idx="17">
                  <c:v>276</c:v>
                </c:pt>
                <c:pt idx="18">
                  <c:v>372</c:v>
                </c:pt>
                <c:pt idx="19">
                  <c:v>370</c:v>
                </c:pt>
                <c:pt idx="20">
                  <c:v>316</c:v>
                </c:pt>
                <c:pt idx="21">
                  <c:v>289</c:v>
                </c:pt>
                <c:pt idx="22">
                  <c:v>256</c:v>
                </c:pt>
                <c:pt idx="23">
                  <c:v>188</c:v>
                </c:pt>
                <c:pt idx="24">
                  <c:v>197</c:v>
                </c:pt>
                <c:pt idx="25">
                  <c:v>292</c:v>
                </c:pt>
                <c:pt idx="26">
                  <c:v>316</c:v>
                </c:pt>
                <c:pt idx="27">
                  <c:v>288</c:v>
                </c:pt>
                <c:pt idx="28">
                  <c:v>320</c:v>
                </c:pt>
                <c:pt idx="29">
                  <c:v>257</c:v>
                </c:pt>
                <c:pt idx="30">
                  <c:v>198</c:v>
                </c:pt>
                <c:pt idx="31">
                  <c:v>204</c:v>
                </c:pt>
                <c:pt idx="32">
                  <c:v>256</c:v>
                </c:pt>
                <c:pt idx="33">
                  <c:v>243</c:v>
                </c:pt>
                <c:pt idx="34">
                  <c:v>187</c:v>
                </c:pt>
                <c:pt idx="35">
                  <c:v>144</c:v>
                </c:pt>
                <c:pt idx="36">
                  <c:v>99</c:v>
                </c:pt>
                <c:pt idx="37">
                  <c:v>69</c:v>
                </c:pt>
                <c:pt idx="38">
                  <c:v>73</c:v>
                </c:pt>
                <c:pt idx="39">
                  <c:v>67</c:v>
                </c:pt>
                <c:pt idx="40">
                  <c:v>44</c:v>
                </c:pt>
                <c:pt idx="41">
                  <c:v>14</c:v>
                </c:pt>
                <c:pt idx="42">
                  <c:v>4</c:v>
                </c:pt>
                <c:pt idx="43">
                  <c:v>1</c:v>
                </c:pt>
                <c:pt idx="44">
                  <c:v>4</c:v>
                </c:pt>
                <c:pt idx="45">
                  <c:v>3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2498136"/>
        <c:axId val="422500488"/>
      </c:lineChart>
      <c:dateAx>
        <c:axId val="4224981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500488"/>
        <c:crosses val="autoZero"/>
        <c:auto val="1"/>
        <c:lblOffset val="100"/>
        <c:baseTimeUnit val="days"/>
      </c:dateAx>
      <c:valAx>
        <c:axId val="422500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498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224517</xdr:colOff>
      <xdr:row>0</xdr:row>
      <xdr:rowOff>70757</xdr:rowOff>
    </xdr:from>
    <xdr:to>
      <xdr:col>17</xdr:col>
      <xdr:colOff>510267</xdr:colOff>
      <xdr:row>14</xdr:row>
      <xdr:rowOff>146957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95.838357291665" createdVersion="5" refreshedVersion="5" minRefreshableVersion="3" recordCount="1283">
  <cacheSource type="worksheet">
    <worksheetSource name="tbl_Part2_KPI"/>
  </cacheSource>
  <cacheFields count="13">
    <cacheField name="order_year" numFmtId="0">
      <sharedItems containsSemiMixedTypes="0" containsString="0" containsNumber="1" containsInteger="1" minValue="2016" maxValue="2018"/>
    </cacheField>
    <cacheField name="order_month" numFmtId="0">
      <sharedItems containsSemiMixedTypes="0" containsString="0" containsNumber="1" containsInteger="1" minValue="1" maxValue="12"/>
    </cacheField>
    <cacheField name="month_name" numFmtId="0">
      <sharedItems/>
    </cacheField>
    <cacheField name="product-catogery_name" numFmtId="0">
      <sharedItems count="74">
        <s v="beleza_saude"/>
        <s v="moveis_decoracao"/>
        <s v="telefonia"/>
        <s v="perfumaria"/>
        <s v="brinquedos"/>
        <s v="consoles_games"/>
        <s v="relogios_presentes"/>
        <s v="esporte_lazer"/>
        <s v="automotivo"/>
        <s v="climatizacao"/>
        <s v="bebes"/>
        <s v="informatica_acessorios"/>
        <s v="ferramentas_jardim"/>
        <s v="eletronicos"/>
        <s v="market_place"/>
        <s v="moveis_escritorio"/>
        <s v="utilidades_domesticas"/>
        <s v="cool_stuff"/>
        <s v="telefonia_fixa"/>
        <s v="pet_shop"/>
        <s v="fashion_bolsas_e_acessorios"/>
        <s v="cama_mesa_banho"/>
        <s v="industria_comercio_e_negocios"/>
        <s v="livros_tecnicos"/>
        <s v="audio"/>
        <s v="fraldas_higiene"/>
        <s v="livros_interesse_geral"/>
        <s v="alimentos"/>
        <s v="NULL"/>
        <s v="fashion_roupa_feminina"/>
        <s v="fashion_calcados"/>
        <s v="fashion_roupa_masculina"/>
        <s v="pcs"/>
        <s v="eletrodomesticos_2"/>
        <s v="eletroportateis"/>
        <s v="papelaria"/>
        <s v="moveis_sala"/>
        <s v="malas_acessorios"/>
        <s v="instrumentos_musicais"/>
        <s v="construcao_ferramentas_construcao"/>
        <s v="seguros_e_servicos"/>
        <s v="fashion_underwear_e_moda_praia"/>
        <s v="moveis_cozinha_area_de_servico_jantar_e_jardim"/>
        <s v="moveis_quarto"/>
        <s v="casa_conforto_2"/>
        <s v="agro_industria_e_comercio"/>
        <s v="dvds_blu_ray"/>
        <s v="musica"/>
        <s v="tablets_impressao_imagem"/>
        <s v="eletrodomesticos"/>
        <s v="casa_construcao"/>
        <s v="construcao_ferramentas_jardim"/>
        <s v="casa_conforto"/>
        <s v="construcao_ferramentas_seguranca"/>
        <s v="livros_importados"/>
        <s v="cine_foto"/>
        <s v="bebidas"/>
        <s v="artes"/>
        <s v="alimentos_bebidas"/>
        <s v="sinalizacao_e_seguranca"/>
        <s v="fashion_esporte"/>
        <s v="construcao_ferramentas_ferramentas"/>
        <s v="pc_gamer"/>
        <s v="moveis_colchao_e_estofado"/>
        <s v="artigos_de_natal"/>
        <s v="la_cuisine"/>
        <s v="fashion_roupa_infanto_juvenil"/>
        <s v="artes_e_artesanato"/>
        <s v="portateis_casa_forno_e_cafe"/>
        <s v="construcao_ferramentas_iluminacao"/>
        <s v="cds_dvds_musicais"/>
        <s v="artigos_de_festas"/>
        <s v="flores"/>
        <s v="portateis_cozinha_e_preparadores_de_alimentos"/>
      </sharedItems>
    </cacheField>
    <cacheField name="total_revenue" numFmtId="0">
      <sharedItems containsSemiMixedTypes="0" containsString="0" containsNumber="1" minValue="3.9000000950000002" maxValue="123872.66009999999"/>
    </cacheField>
    <cacheField name="total_orders" numFmtId="0">
      <sharedItems containsSemiMixedTypes="0" containsString="0" containsNumber="1" containsInteger="1" minValue="1" maxValue="817"/>
    </cacheField>
    <cacheField name="AOV" numFmtId="0">
      <sharedItems containsSemiMixedTypes="0" containsString="0" containsNumber="1" minValue="3.9" maxValue="3549"/>
    </cacheField>
    <cacheField name="avg_review_score" numFmtId="0">
      <sharedItems containsMixedTypes="1" containsNumber="1" minValue="1" maxValue="5"/>
    </cacheField>
    <cacheField name="cancelled_orders" numFmtId="0">
      <sharedItems containsMixedTypes="1" containsNumber="1" containsInteger="1" minValue="0" maxValue="8"/>
    </cacheField>
    <cacheField name="concellation_rate" numFmtId="0">
      <sharedItems containsMixedTypes="1" containsNumber="1" minValue="0" maxValue="100"/>
    </cacheField>
    <cacheField name="revenue_band" numFmtId="0">
      <sharedItems/>
    </cacheField>
    <cacheField name="Year_Month" numFmtId="0">
      <sharedItems/>
    </cacheField>
    <cacheField name="Year_Month_Date" numFmtId="164">
      <sharedItems containsSemiMixedTypes="0" containsNonDate="0" containsDate="1" containsString="0" minDate="2016-09-01T00:00:00" maxDate="2018-09-02T00:00:00" count="24">
        <d v="2016-09-01T00:00:00"/>
        <d v="2016-10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83">
  <r>
    <n v="2016"/>
    <n v="9"/>
    <s v="September"/>
    <x v="0"/>
    <n v="134.97000499999999"/>
    <n v="1"/>
    <n v="134.97"/>
    <n v="1"/>
    <n v="0"/>
    <n v="0"/>
    <s v="Fix"/>
    <s v="Sep-2016"/>
    <x v="0"/>
  </r>
  <r>
    <n v="2016"/>
    <n v="9"/>
    <s v="September"/>
    <x v="1"/>
    <n v="72.890003199999995"/>
    <n v="1"/>
    <n v="72.89"/>
    <n v="1"/>
    <n v="0"/>
    <n v="0"/>
    <s v="Fix"/>
    <s v="Sep-2016"/>
    <x v="0"/>
  </r>
  <r>
    <n v="2016"/>
    <n v="9"/>
    <s v="September"/>
    <x v="2"/>
    <n v="59.5"/>
    <n v="1"/>
    <n v="59.5"/>
    <n v="1"/>
    <n v="1"/>
    <n v="100"/>
    <s v="Fix"/>
    <s v="Sep-2016"/>
    <x v="0"/>
  </r>
  <r>
    <n v="2016"/>
    <n v="10"/>
    <s v="October"/>
    <x v="1"/>
    <n v="5807.8899940000001"/>
    <n v="51"/>
    <n v="113.88"/>
    <n v="3.76"/>
    <n v="0"/>
    <n v="0"/>
    <s v="Fix"/>
    <s v="Oct-2016"/>
    <x v="1"/>
  </r>
  <r>
    <n v="2016"/>
    <n v="10"/>
    <s v="October"/>
    <x v="3"/>
    <n v="5688.6999089999999"/>
    <n v="30"/>
    <n v="189.62"/>
    <n v="4.3333329999999997"/>
    <n v="2"/>
    <n v="6.67"/>
    <s v="Fix"/>
    <s v="Oct-2016"/>
    <x v="1"/>
  </r>
  <r>
    <n v="2016"/>
    <n v="10"/>
    <s v="October"/>
    <x v="0"/>
    <n v="4552.5100210000001"/>
    <n v="44"/>
    <n v="103.47"/>
    <n v="3.5"/>
    <n v="2"/>
    <n v="4.55"/>
    <s v="Fix"/>
    <s v="Oct-2016"/>
    <x v="1"/>
  </r>
  <r>
    <n v="2016"/>
    <n v="10"/>
    <s v="October"/>
    <x v="4"/>
    <n v="4465.08997"/>
    <n v="25"/>
    <n v="178.6"/>
    <n v="3.8333330000000001"/>
    <n v="3"/>
    <n v="12"/>
    <s v="Fix"/>
    <s v="Oct-2016"/>
    <x v="1"/>
  </r>
  <r>
    <n v="2016"/>
    <n v="10"/>
    <s v="October"/>
    <x v="5"/>
    <n v="3882.2599909999999"/>
    <n v="10"/>
    <n v="388.23"/>
    <n v="3.4"/>
    <n v="0"/>
    <n v="0"/>
    <s v="Fix"/>
    <s v="Oct-2016"/>
    <x v="1"/>
  </r>
  <r>
    <n v="2016"/>
    <n v="10"/>
    <s v="October"/>
    <x v="6"/>
    <n v="3360.2399650000002"/>
    <n v="5"/>
    <n v="672.05"/>
    <n v="4"/>
    <n v="0"/>
    <n v="0"/>
    <s v="Fix"/>
    <s v="Oct-2016"/>
    <x v="1"/>
  </r>
  <r>
    <n v="2016"/>
    <n v="10"/>
    <s v="October"/>
    <x v="7"/>
    <n v="3333.640003"/>
    <n v="19"/>
    <n v="175.45"/>
    <n v="3.947368"/>
    <n v="2"/>
    <n v="10.53"/>
    <s v="Fix"/>
    <s v="Oct-2016"/>
    <x v="1"/>
  </r>
  <r>
    <n v="2016"/>
    <n v="10"/>
    <s v="October"/>
    <x v="8"/>
    <n v="1833.2499829999999"/>
    <n v="11"/>
    <n v="166.66"/>
    <n v="2.90909"/>
    <n v="1"/>
    <n v="9.09"/>
    <s v="Fix"/>
    <s v="Oct-2016"/>
    <x v="1"/>
  </r>
  <r>
    <n v="2016"/>
    <n v="10"/>
    <s v="October"/>
    <x v="9"/>
    <n v="1707.089935"/>
    <n v="5"/>
    <n v="341.42"/>
    <n v="3.4"/>
    <n v="0"/>
    <n v="0"/>
    <s v="Fix"/>
    <s v="Oct-2016"/>
    <x v="1"/>
  </r>
  <r>
    <n v="2016"/>
    <n v="10"/>
    <s v="October"/>
    <x v="10"/>
    <n v="1630.1600060000001"/>
    <n v="11"/>
    <n v="148.19999999999999"/>
    <n v="3.454545"/>
    <n v="1"/>
    <n v="9.09"/>
    <s v="Fix"/>
    <s v="Oct-2016"/>
    <x v="1"/>
  </r>
  <r>
    <n v="2016"/>
    <n v="10"/>
    <s v="October"/>
    <x v="11"/>
    <n v="1399.320005"/>
    <n v="18"/>
    <n v="77.739999999999995"/>
    <n v="3.055555"/>
    <n v="0"/>
    <n v="0"/>
    <s v="Fix"/>
    <s v="Oct-2016"/>
    <x v="1"/>
  </r>
  <r>
    <n v="2016"/>
    <n v="10"/>
    <s v="October"/>
    <x v="12"/>
    <n v="1359.879997"/>
    <n v="5"/>
    <n v="271.98"/>
    <n v="4.2"/>
    <n v="0"/>
    <n v="0"/>
    <s v="Fix"/>
    <s v="Oct-2016"/>
    <x v="1"/>
  </r>
  <r>
    <n v="2016"/>
    <n v="10"/>
    <s v="October"/>
    <x v="13"/>
    <n v="1306.989998"/>
    <n v="2"/>
    <n v="653.49"/>
    <n v="3"/>
    <n v="0"/>
    <n v="0"/>
    <s v="Fix"/>
    <s v="Oct-2016"/>
    <x v="1"/>
  </r>
  <r>
    <n v="2016"/>
    <n v="10"/>
    <s v="October"/>
    <x v="14"/>
    <n v="1306.190002"/>
    <n v="7"/>
    <n v="186.6"/>
    <n v="4.1428570000000002"/>
    <n v="0"/>
    <n v="0"/>
    <s v="Fix"/>
    <s v="Oct-2016"/>
    <x v="1"/>
  </r>
  <r>
    <n v="2016"/>
    <n v="10"/>
    <s v="October"/>
    <x v="15"/>
    <n v="1300.8799899999999"/>
    <n v="6"/>
    <n v="216.81"/>
    <n v="1.6"/>
    <n v="0"/>
    <n v="0"/>
    <s v="Fix"/>
    <s v="Oct-2016"/>
    <x v="1"/>
  </r>
  <r>
    <n v="2016"/>
    <n v="10"/>
    <s v="October"/>
    <x v="16"/>
    <n v="1287.070005"/>
    <n v="9"/>
    <n v="143.01"/>
    <n v="3.3333330000000001"/>
    <n v="0"/>
    <n v="0"/>
    <s v="Fix"/>
    <s v="Oct-2016"/>
    <x v="1"/>
  </r>
  <r>
    <n v="2016"/>
    <n v="10"/>
    <s v="October"/>
    <x v="17"/>
    <n v="1110.999992"/>
    <n v="8"/>
    <n v="138.87"/>
    <n v="3.75"/>
    <n v="0"/>
    <n v="0"/>
    <s v="Fix"/>
    <s v="Oct-2016"/>
    <x v="1"/>
  </r>
  <r>
    <n v="2016"/>
    <n v="10"/>
    <s v="October"/>
    <x v="18"/>
    <n v="704.87999730000001"/>
    <n v="5"/>
    <n v="140.97999999999999"/>
    <n v="4"/>
    <n v="0"/>
    <n v="0"/>
    <s v="Fix"/>
    <s v="Oct-2016"/>
    <x v="1"/>
  </r>
  <r>
    <n v="2016"/>
    <n v="10"/>
    <s v="October"/>
    <x v="19"/>
    <n v="689.68001560000005"/>
    <n v="4"/>
    <n v="172.42"/>
    <n v="4.25"/>
    <n v="0"/>
    <n v="0"/>
    <s v="Fix"/>
    <s v="Oct-2016"/>
    <x v="1"/>
  </r>
  <r>
    <n v="2016"/>
    <n v="10"/>
    <s v="October"/>
    <x v="20"/>
    <n v="508.30000310000003"/>
    <n v="8"/>
    <n v="63.54"/>
    <n v="3.375"/>
    <n v="1"/>
    <n v="12.5"/>
    <s v="Fix"/>
    <s v="Oct-2016"/>
    <x v="1"/>
  </r>
  <r>
    <n v="2016"/>
    <n v="10"/>
    <s v="October"/>
    <x v="2"/>
    <n v="500.07999419999999"/>
    <n v="9"/>
    <n v="55.56"/>
    <n v="3.7777769999999999"/>
    <n v="1"/>
    <n v="11.11"/>
    <s v="Fix"/>
    <s v="Oct-2016"/>
    <x v="1"/>
  </r>
  <r>
    <n v="2016"/>
    <n v="10"/>
    <s v="October"/>
    <x v="21"/>
    <n v="478.98999789999999"/>
    <n v="5"/>
    <n v="95.8"/>
    <n v="4"/>
    <n v="0"/>
    <n v="0"/>
    <s v="Fix"/>
    <s v="Oct-2016"/>
    <x v="1"/>
  </r>
  <r>
    <n v="2016"/>
    <n v="10"/>
    <s v="October"/>
    <x v="22"/>
    <n v="359.60000609999997"/>
    <n v="3"/>
    <n v="119.87"/>
    <n v="4.3333329999999997"/>
    <n v="0"/>
    <n v="0"/>
    <s v="Fix"/>
    <s v="Oct-2016"/>
    <x v="1"/>
  </r>
  <r>
    <n v="2016"/>
    <n v="10"/>
    <s v="October"/>
    <x v="23"/>
    <n v="267"/>
    <n v="1"/>
    <n v="267"/>
    <n v="1"/>
    <n v="0"/>
    <n v="0"/>
    <s v="Fix"/>
    <s v="Oct-2016"/>
    <x v="1"/>
  </r>
  <r>
    <n v="2016"/>
    <n v="10"/>
    <s v="October"/>
    <x v="24"/>
    <n v="156.98999979999999"/>
    <n v="2"/>
    <n v="78.489999999999995"/>
    <n v="5"/>
    <n v="0"/>
    <n v="0"/>
    <s v="Fix"/>
    <s v="Oct-2016"/>
    <x v="1"/>
  </r>
  <r>
    <n v="2016"/>
    <n v="10"/>
    <s v="October"/>
    <x v="25"/>
    <n v="134.8999939"/>
    <n v="1"/>
    <n v="134.9"/>
    <n v="5"/>
    <n v="0"/>
    <n v="0"/>
    <s v="Fix"/>
    <s v="Oct-2016"/>
    <x v="1"/>
  </r>
  <r>
    <n v="2016"/>
    <n v="10"/>
    <s v="October"/>
    <x v="26"/>
    <n v="119.5"/>
    <n v="1"/>
    <n v="119.5"/>
    <n v="5"/>
    <n v="0"/>
    <n v="0"/>
    <s v="Fix"/>
    <s v="Oct-2016"/>
    <x v="1"/>
  </r>
  <r>
    <n v="2016"/>
    <n v="10"/>
    <s v="October"/>
    <x v="27"/>
    <n v="79.900001529999997"/>
    <n v="1"/>
    <n v="79.900000000000006"/>
    <n v="5"/>
    <n v="0"/>
    <n v="0"/>
    <s v="Fix"/>
    <s v="Oct-2016"/>
    <x v="1"/>
  </r>
  <r>
    <n v="2016"/>
    <n v="10"/>
    <s v="October"/>
    <x v="28"/>
    <n v="65.890001299999994"/>
    <n v="2"/>
    <n v="32.950000000000003"/>
    <s v="NULL"/>
    <s v="NULL"/>
    <s v="NULL"/>
    <s v="Fix"/>
    <s v="Oct-2016"/>
    <x v="1"/>
  </r>
  <r>
    <n v="2016"/>
    <n v="10"/>
    <s v="October"/>
    <x v="29"/>
    <n v="54.900001529999997"/>
    <n v="1"/>
    <n v="54.9"/>
    <n v="5"/>
    <n v="0"/>
    <n v="0"/>
    <s v="Fix"/>
    <s v="Oct-2016"/>
    <x v="1"/>
  </r>
  <r>
    <n v="2016"/>
    <n v="10"/>
    <s v="October"/>
    <x v="30"/>
    <n v="29.989999770000001"/>
    <n v="1"/>
    <n v="29.99"/>
    <n v="5"/>
    <n v="0"/>
    <n v="0"/>
    <s v="Fix"/>
    <s v="Oct-2016"/>
    <x v="1"/>
  </r>
  <r>
    <n v="2016"/>
    <n v="10"/>
    <s v="October"/>
    <x v="31"/>
    <n v="24.899999619999999"/>
    <n v="1"/>
    <n v="24.9"/>
    <n v="1"/>
    <n v="0"/>
    <n v="0"/>
    <s v="Fix"/>
    <s v="Oct-2016"/>
    <x v="1"/>
  </r>
  <r>
    <n v="2016"/>
    <n v="12"/>
    <s v="December"/>
    <x v="20"/>
    <n v="10.899999619999999"/>
    <n v="1"/>
    <n v="10.9"/>
    <n v="5"/>
    <n v="0"/>
    <n v="0"/>
    <s v="Fix"/>
    <s v="Dec-2016"/>
    <x v="2"/>
  </r>
  <r>
    <n v="2017"/>
    <n v="1"/>
    <s v="January"/>
    <x v="1"/>
    <n v="13521.30998"/>
    <n v="137"/>
    <n v="98.7"/>
    <n v="3.945255"/>
    <n v="0"/>
    <n v="0"/>
    <s v="Fix"/>
    <s v="Jan-2017"/>
    <x v="3"/>
  </r>
  <r>
    <n v="2017"/>
    <n v="1"/>
    <s v="January"/>
    <x v="0"/>
    <n v="12561.31999"/>
    <n v="82"/>
    <n v="153.19"/>
    <n v="4.0875000000000004"/>
    <n v="0"/>
    <n v="0"/>
    <s v="Fix"/>
    <s v="Jan-2017"/>
    <x v="3"/>
  </r>
  <r>
    <n v="2017"/>
    <n v="1"/>
    <s v="January"/>
    <x v="7"/>
    <n v="9717.6199739999993"/>
    <n v="62"/>
    <n v="156.74"/>
    <n v="4.0819669999999997"/>
    <n v="0"/>
    <n v="0"/>
    <s v="Fix"/>
    <s v="Jan-2017"/>
    <x v="3"/>
  </r>
  <r>
    <n v="2017"/>
    <n v="1"/>
    <s v="January"/>
    <x v="12"/>
    <n v="8152.7500289999998"/>
    <n v="40"/>
    <n v="203.82"/>
    <n v="3.4249999999999998"/>
    <n v="0"/>
    <n v="0"/>
    <s v="Fix"/>
    <s v="Jan-2017"/>
    <x v="3"/>
  </r>
  <r>
    <n v="2017"/>
    <n v="1"/>
    <s v="January"/>
    <x v="6"/>
    <n v="8086.5199890000004"/>
    <n v="11"/>
    <n v="735.14"/>
    <n v="4"/>
    <n v="0"/>
    <n v="0"/>
    <s v="Fix"/>
    <s v="Jan-2017"/>
    <x v="3"/>
  </r>
  <r>
    <n v="2017"/>
    <n v="1"/>
    <s v="January"/>
    <x v="17"/>
    <n v="7784.8700280000003"/>
    <n v="32"/>
    <n v="243.28"/>
    <n v="3.875"/>
    <n v="0"/>
    <n v="0"/>
    <s v="Fix"/>
    <s v="Jan-2017"/>
    <x v="3"/>
  </r>
  <r>
    <n v="2017"/>
    <n v="1"/>
    <s v="January"/>
    <x v="10"/>
    <n v="6397.8700120000003"/>
    <n v="32"/>
    <n v="199.93"/>
    <n v="4.548387"/>
    <n v="0"/>
    <n v="0"/>
    <s v="Fix"/>
    <s v="Jan-2017"/>
    <x v="3"/>
  </r>
  <r>
    <n v="2017"/>
    <n v="1"/>
    <s v="January"/>
    <x v="5"/>
    <n v="5954.2000099999996"/>
    <n v="21"/>
    <n v="283.52999999999997"/>
    <n v="4.0999999999999996"/>
    <n v="0"/>
    <n v="0"/>
    <s v="Fix"/>
    <s v="Jan-2017"/>
    <x v="3"/>
  </r>
  <r>
    <n v="2017"/>
    <n v="1"/>
    <s v="January"/>
    <x v="8"/>
    <n v="5218.5299359999999"/>
    <n v="30"/>
    <n v="173.95"/>
    <n v="3.466666"/>
    <n v="1"/>
    <n v="3.33"/>
    <s v="Fix"/>
    <s v="Jan-2017"/>
    <x v="3"/>
  </r>
  <r>
    <n v="2017"/>
    <n v="1"/>
    <s v="January"/>
    <x v="3"/>
    <n v="5112.5999430000002"/>
    <n v="29"/>
    <n v="176.3"/>
    <n v="4.7857139999999996"/>
    <n v="0"/>
    <n v="0"/>
    <s v="Fix"/>
    <s v="Jan-2017"/>
    <x v="3"/>
  </r>
  <r>
    <n v="2017"/>
    <n v="1"/>
    <s v="January"/>
    <x v="4"/>
    <n v="4814.0899980000004"/>
    <n v="43"/>
    <n v="111.96"/>
    <n v="4.2558129999999998"/>
    <n v="1"/>
    <n v="2.33"/>
    <s v="Fix"/>
    <s v="Jan-2017"/>
    <x v="3"/>
  </r>
  <r>
    <n v="2017"/>
    <n v="1"/>
    <s v="January"/>
    <x v="21"/>
    <n v="3960.160034"/>
    <n v="45"/>
    <n v="88"/>
    <n v="4.1555549999999997"/>
    <n v="0"/>
    <n v="0"/>
    <s v="Fix"/>
    <s v="Jan-2017"/>
    <x v="3"/>
  </r>
  <r>
    <n v="2017"/>
    <n v="1"/>
    <s v="January"/>
    <x v="11"/>
    <n v="3924.1399860000001"/>
    <n v="24"/>
    <n v="163.51"/>
    <n v="4.25"/>
    <n v="0"/>
    <n v="0"/>
    <s v="Fix"/>
    <s v="Jan-2017"/>
    <x v="3"/>
  </r>
  <r>
    <n v="2017"/>
    <n v="1"/>
    <s v="January"/>
    <x v="2"/>
    <n v="2945.859989"/>
    <n v="21"/>
    <n v="140.28"/>
    <n v="3.9523799999999998"/>
    <n v="0"/>
    <n v="0"/>
    <s v="Fix"/>
    <s v="Jan-2017"/>
    <x v="3"/>
  </r>
  <r>
    <n v="2017"/>
    <n v="1"/>
    <s v="January"/>
    <x v="16"/>
    <n v="2827.5799900000002"/>
    <n v="21"/>
    <n v="134.65"/>
    <n v="4.3333329999999997"/>
    <n v="0"/>
    <n v="0"/>
    <s v="Fix"/>
    <s v="Jan-2017"/>
    <x v="3"/>
  </r>
  <r>
    <n v="2017"/>
    <n v="1"/>
    <s v="January"/>
    <x v="32"/>
    <n v="2199.98999"/>
    <n v="1"/>
    <n v="2199.9899999999998"/>
    <n v="4"/>
    <n v="0"/>
    <n v="0"/>
    <s v="Fix"/>
    <s v="Jan-2017"/>
    <x v="3"/>
  </r>
  <r>
    <n v="2017"/>
    <n v="1"/>
    <s v="January"/>
    <x v="33"/>
    <n v="2126.6799810000002"/>
    <n v="7"/>
    <n v="303.81"/>
    <n v="4.6666660000000002"/>
    <n v="0"/>
    <n v="0"/>
    <s v="Fix"/>
    <s v="Jan-2017"/>
    <x v="3"/>
  </r>
  <r>
    <n v="2017"/>
    <n v="1"/>
    <s v="January"/>
    <x v="28"/>
    <n v="1702.639977"/>
    <n v="11"/>
    <n v="154.79"/>
    <s v="NULL"/>
    <s v="NULL"/>
    <s v="NULL"/>
    <s v="Fix"/>
    <s v="Jan-2017"/>
    <x v="3"/>
  </r>
  <r>
    <n v="2017"/>
    <n v="1"/>
    <s v="January"/>
    <x v="20"/>
    <n v="1671.970016"/>
    <n v="30"/>
    <n v="55.73"/>
    <n v="4.3103439999999997"/>
    <n v="0"/>
    <n v="0"/>
    <s v="Fix"/>
    <s v="Jan-2017"/>
    <x v="3"/>
  </r>
  <r>
    <n v="2017"/>
    <n v="1"/>
    <s v="January"/>
    <x v="34"/>
    <n v="1660.7900010000001"/>
    <n v="6"/>
    <n v="276.8"/>
    <n v="4.6666660000000002"/>
    <n v="0"/>
    <n v="0"/>
    <s v="Fix"/>
    <s v="Jan-2017"/>
    <x v="3"/>
  </r>
  <r>
    <n v="2017"/>
    <n v="1"/>
    <s v="January"/>
    <x v="35"/>
    <n v="1561.989988"/>
    <n v="7"/>
    <n v="223.14"/>
    <n v="4.571428"/>
    <n v="0"/>
    <n v="0"/>
    <s v="Fix"/>
    <s v="Jan-2017"/>
    <x v="3"/>
  </r>
  <r>
    <n v="2017"/>
    <n v="1"/>
    <s v="January"/>
    <x v="15"/>
    <n v="1444.349991"/>
    <n v="7"/>
    <n v="206.34"/>
    <n v="2.4285709999999998"/>
    <n v="0"/>
    <n v="0"/>
    <s v="Fix"/>
    <s v="Jan-2017"/>
    <x v="3"/>
  </r>
  <r>
    <n v="2017"/>
    <n v="1"/>
    <s v="January"/>
    <x v="36"/>
    <n v="1241.8999940000001"/>
    <n v="8"/>
    <n v="155.24"/>
    <n v="4.75"/>
    <n v="0"/>
    <n v="0"/>
    <s v="Fix"/>
    <s v="Jan-2017"/>
    <x v="3"/>
  </r>
  <r>
    <n v="2017"/>
    <n v="1"/>
    <s v="January"/>
    <x v="19"/>
    <n v="967.11999270000001"/>
    <n v="13"/>
    <n v="74.39"/>
    <n v="4.3846150000000002"/>
    <n v="0"/>
    <n v="0"/>
    <s v="Fix"/>
    <s v="Jan-2017"/>
    <x v="3"/>
  </r>
  <r>
    <n v="2017"/>
    <n v="1"/>
    <s v="January"/>
    <x v="18"/>
    <n v="677.12001129999999"/>
    <n v="19"/>
    <n v="35.64"/>
    <n v="4.4117639999999998"/>
    <n v="0"/>
    <n v="0"/>
    <s v="Fix"/>
    <s v="Jan-2017"/>
    <x v="3"/>
  </r>
  <r>
    <n v="2017"/>
    <n v="1"/>
    <s v="January"/>
    <x v="9"/>
    <n v="663.69998169999997"/>
    <n v="3"/>
    <n v="221.23"/>
    <n v="3"/>
    <n v="0"/>
    <n v="0"/>
    <s v="Fix"/>
    <s v="Jan-2017"/>
    <x v="3"/>
  </r>
  <r>
    <n v="2017"/>
    <n v="1"/>
    <s v="January"/>
    <x v="13"/>
    <n v="617"/>
    <n v="11"/>
    <n v="56.09"/>
    <n v="3.818181"/>
    <n v="0"/>
    <n v="0"/>
    <s v="Fix"/>
    <s v="Jan-2017"/>
    <x v="3"/>
  </r>
  <r>
    <n v="2017"/>
    <n v="1"/>
    <s v="January"/>
    <x v="37"/>
    <n v="492.5"/>
    <n v="4"/>
    <n v="123.13"/>
    <n v="4.75"/>
    <n v="0"/>
    <n v="0"/>
    <s v="Fix"/>
    <s v="Jan-2017"/>
    <x v="3"/>
  </r>
  <r>
    <n v="2017"/>
    <n v="1"/>
    <s v="January"/>
    <x v="14"/>
    <n v="447.0400085"/>
    <n v="6"/>
    <n v="74.510000000000005"/>
    <n v="3.6666660000000002"/>
    <n v="0"/>
    <n v="0"/>
    <s v="Fix"/>
    <s v="Jan-2017"/>
    <x v="3"/>
  </r>
  <r>
    <n v="2017"/>
    <n v="1"/>
    <s v="January"/>
    <x v="38"/>
    <n v="339.73999020000002"/>
    <n v="1"/>
    <n v="339.74"/>
    <n v="4"/>
    <n v="0"/>
    <n v="0"/>
    <s v="Fix"/>
    <s v="Jan-2017"/>
    <x v="3"/>
  </r>
  <r>
    <n v="2017"/>
    <n v="1"/>
    <s v="January"/>
    <x v="39"/>
    <n v="310"/>
    <n v="1"/>
    <n v="310"/>
    <n v="1"/>
    <n v="0"/>
    <n v="0"/>
    <s v="Fix"/>
    <s v="Jan-2017"/>
    <x v="3"/>
  </r>
  <r>
    <n v="2017"/>
    <n v="1"/>
    <s v="January"/>
    <x v="26"/>
    <n v="234.88999939999999"/>
    <n v="2"/>
    <n v="117.44"/>
    <n v="5"/>
    <n v="0"/>
    <n v="0"/>
    <s v="Fix"/>
    <s v="Jan-2017"/>
    <x v="3"/>
  </r>
  <r>
    <n v="2017"/>
    <n v="1"/>
    <s v="January"/>
    <x v="40"/>
    <n v="183.28999329999999"/>
    <n v="1"/>
    <n v="183.29"/>
    <n v="4"/>
    <n v="0"/>
    <n v="0"/>
    <s v="Fix"/>
    <s v="Jan-2017"/>
    <x v="3"/>
  </r>
  <r>
    <n v="2017"/>
    <n v="1"/>
    <s v="January"/>
    <x v="41"/>
    <n v="137.25"/>
    <n v="2"/>
    <n v="68.63"/>
    <n v="3"/>
    <n v="0"/>
    <n v="0"/>
    <s v="Fix"/>
    <s v="Jan-2017"/>
    <x v="3"/>
  </r>
  <r>
    <n v="2017"/>
    <n v="1"/>
    <s v="January"/>
    <x v="31"/>
    <n v="126.9000015"/>
    <n v="1"/>
    <n v="126.9"/>
    <n v="5"/>
    <n v="0"/>
    <n v="0"/>
    <s v="Fix"/>
    <s v="Jan-2017"/>
    <x v="3"/>
  </r>
  <r>
    <n v="2017"/>
    <n v="1"/>
    <s v="January"/>
    <x v="42"/>
    <n v="110"/>
    <n v="1"/>
    <n v="110"/>
    <n v="5"/>
    <n v="0"/>
    <n v="0"/>
    <s v="Fix"/>
    <s v="Jan-2017"/>
    <x v="3"/>
  </r>
  <r>
    <n v="2017"/>
    <n v="1"/>
    <s v="January"/>
    <x v="29"/>
    <n v="77.300001140000006"/>
    <n v="2"/>
    <n v="38.65"/>
    <n v="4"/>
    <n v="0"/>
    <n v="0"/>
    <s v="Fix"/>
    <s v="Jan-2017"/>
    <x v="3"/>
  </r>
  <r>
    <n v="2017"/>
    <n v="1"/>
    <s v="January"/>
    <x v="43"/>
    <n v="73.1999979"/>
    <n v="8"/>
    <n v="9.15"/>
    <n v="5"/>
    <n v="0"/>
    <n v="0"/>
    <s v="Fix"/>
    <s v="Jan-2017"/>
    <x v="3"/>
  </r>
  <r>
    <n v="2017"/>
    <n v="1"/>
    <s v="January"/>
    <x v="44"/>
    <n v="72.800001140000006"/>
    <n v="2"/>
    <n v="36.4"/>
    <n v="4.5"/>
    <n v="0"/>
    <n v="0"/>
    <s v="Fix"/>
    <s v="Jan-2017"/>
    <x v="3"/>
  </r>
  <r>
    <n v="2017"/>
    <n v="1"/>
    <s v="January"/>
    <x v="45"/>
    <n v="65.969999310000006"/>
    <n v="2"/>
    <n v="32.979999999999997"/>
    <n v="4.5"/>
    <n v="0"/>
    <n v="0"/>
    <s v="Fix"/>
    <s v="Jan-2017"/>
    <x v="3"/>
  </r>
  <r>
    <n v="2017"/>
    <n v="1"/>
    <s v="January"/>
    <x v="27"/>
    <n v="42.819999690000003"/>
    <n v="2"/>
    <n v="21.41"/>
    <n v="5"/>
    <n v="0"/>
    <n v="0"/>
    <s v="Fix"/>
    <s v="Jan-2017"/>
    <x v="3"/>
  </r>
  <r>
    <n v="2017"/>
    <n v="1"/>
    <s v="January"/>
    <x v="30"/>
    <n v="34.900001529999997"/>
    <n v="1"/>
    <n v="34.9"/>
    <n v="5"/>
    <n v="0"/>
    <n v="0"/>
    <s v="Fix"/>
    <s v="Jan-2017"/>
    <x v="3"/>
  </r>
  <r>
    <n v="2017"/>
    <n v="1"/>
    <s v="January"/>
    <x v="46"/>
    <n v="29.799999239999998"/>
    <n v="1"/>
    <n v="29.8"/>
    <n v="5"/>
    <n v="0"/>
    <n v="0"/>
    <s v="Fix"/>
    <s v="Jan-2017"/>
    <x v="3"/>
  </r>
  <r>
    <n v="2017"/>
    <n v="1"/>
    <s v="January"/>
    <x v="47"/>
    <n v="19.799999239999998"/>
    <n v="2"/>
    <n v="9.9"/>
    <n v="5"/>
    <n v="0"/>
    <n v="0"/>
    <s v="Fix"/>
    <s v="Jan-2017"/>
    <x v="3"/>
  </r>
  <r>
    <n v="2017"/>
    <n v="2"/>
    <s v="February"/>
    <x v="0"/>
    <n v="22838.789840000001"/>
    <n v="155"/>
    <n v="147.35"/>
    <n v="4.0519480000000003"/>
    <n v="0"/>
    <n v="0"/>
    <s v="Fix"/>
    <s v="Feb-2017"/>
    <x v="4"/>
  </r>
  <r>
    <n v="2017"/>
    <n v="2"/>
    <s v="February"/>
    <x v="1"/>
    <n v="20986.100020000002"/>
    <n v="221"/>
    <n v="94.96"/>
    <n v="3.8904100000000001"/>
    <n v="1"/>
    <n v="0.45"/>
    <s v="Fix"/>
    <s v="Feb-2017"/>
    <x v="4"/>
  </r>
  <r>
    <n v="2017"/>
    <n v="2"/>
    <s v="February"/>
    <x v="7"/>
    <n v="16372.16001"/>
    <n v="139"/>
    <n v="117.79"/>
    <n v="4.1294959999999996"/>
    <n v="1"/>
    <n v="0.72"/>
    <s v="Fix"/>
    <s v="Feb-2017"/>
    <x v="4"/>
  </r>
  <r>
    <n v="2017"/>
    <n v="2"/>
    <s v="February"/>
    <x v="21"/>
    <n v="16282.729880000001"/>
    <n v="146"/>
    <n v="111.53"/>
    <n v="4.2275859999999996"/>
    <n v="2"/>
    <n v="1.37"/>
    <s v="Fix"/>
    <s v="Feb-2017"/>
    <x v="4"/>
  </r>
  <r>
    <n v="2017"/>
    <n v="2"/>
    <s v="February"/>
    <x v="17"/>
    <n v="13323.600109999999"/>
    <n v="69"/>
    <n v="193.1"/>
    <n v="4.2898550000000002"/>
    <n v="0"/>
    <n v="0"/>
    <s v="Fix"/>
    <s v="Feb-2017"/>
    <x v="4"/>
  </r>
  <r>
    <n v="2017"/>
    <n v="2"/>
    <s v="February"/>
    <x v="8"/>
    <n v="13162.40005"/>
    <n v="77"/>
    <n v="170.94"/>
    <n v="4.2631569999999996"/>
    <n v="1"/>
    <n v="1.3"/>
    <s v="Fix"/>
    <s v="Feb-2017"/>
    <x v="4"/>
  </r>
  <r>
    <n v="2017"/>
    <n v="2"/>
    <s v="February"/>
    <x v="12"/>
    <n v="13144.609990000001"/>
    <n v="63"/>
    <n v="208.64"/>
    <n v="3.9365070000000002"/>
    <n v="1"/>
    <n v="1.59"/>
    <s v="Fix"/>
    <s v="Feb-2017"/>
    <x v="4"/>
  </r>
  <r>
    <n v="2017"/>
    <n v="2"/>
    <s v="February"/>
    <x v="16"/>
    <n v="12659.67"/>
    <n v="68"/>
    <n v="186.17"/>
    <n v="3.941176"/>
    <n v="2"/>
    <n v="2.94"/>
    <s v="Fix"/>
    <s v="Feb-2017"/>
    <x v="4"/>
  </r>
  <r>
    <n v="2017"/>
    <n v="2"/>
    <s v="February"/>
    <x v="11"/>
    <n v="11972.589980000001"/>
    <n v="97"/>
    <n v="123.43"/>
    <n v="3.90625"/>
    <n v="0"/>
    <n v="0"/>
    <s v="Fix"/>
    <s v="Feb-2017"/>
    <x v="4"/>
  </r>
  <r>
    <n v="2017"/>
    <n v="2"/>
    <s v="February"/>
    <x v="15"/>
    <n v="11805.98013"/>
    <n v="53"/>
    <n v="222.75"/>
    <n v="3.5471689999999998"/>
    <n v="0"/>
    <n v="0"/>
    <s v="Fix"/>
    <s v="Feb-2017"/>
    <x v="4"/>
  </r>
  <r>
    <n v="2017"/>
    <n v="2"/>
    <s v="February"/>
    <x v="6"/>
    <n v="11756.20996"/>
    <n v="35"/>
    <n v="335.89"/>
    <n v="4.1142849999999997"/>
    <n v="0"/>
    <n v="0"/>
    <s v="Fix"/>
    <s v="Feb-2017"/>
    <x v="4"/>
  </r>
  <r>
    <n v="2017"/>
    <n v="2"/>
    <s v="February"/>
    <x v="4"/>
    <n v="9403.3400230000007"/>
    <n v="62"/>
    <n v="151.66999999999999"/>
    <n v="4.2903219999999997"/>
    <n v="1"/>
    <n v="1.61"/>
    <s v="Fix"/>
    <s v="Feb-2017"/>
    <x v="4"/>
  </r>
  <r>
    <n v="2017"/>
    <n v="2"/>
    <s v="February"/>
    <x v="28"/>
    <n v="9034.1000029999996"/>
    <n v="52"/>
    <n v="173.73"/>
    <s v="NULL"/>
    <s v="NULL"/>
    <s v="NULL"/>
    <s v="Fix"/>
    <s v="Feb-2017"/>
    <x v="4"/>
  </r>
  <r>
    <n v="2017"/>
    <n v="2"/>
    <s v="February"/>
    <x v="3"/>
    <n v="8127.179905"/>
    <n v="49"/>
    <n v="165.86"/>
    <n v="4.2244890000000002"/>
    <n v="1"/>
    <n v="2.04"/>
    <s v="Fix"/>
    <s v="Feb-2017"/>
    <x v="4"/>
  </r>
  <r>
    <n v="2017"/>
    <n v="2"/>
    <s v="February"/>
    <x v="34"/>
    <n v="7251.580027"/>
    <n v="25"/>
    <n v="290.06"/>
    <n v="4.6399999999999997"/>
    <n v="0"/>
    <n v="0"/>
    <s v="Fix"/>
    <s v="Feb-2017"/>
    <x v="4"/>
  </r>
  <r>
    <n v="2017"/>
    <n v="2"/>
    <s v="February"/>
    <x v="2"/>
    <n v="6899.0900890000003"/>
    <n v="100"/>
    <n v="68.989999999999995"/>
    <n v="4.071428"/>
    <n v="2"/>
    <n v="2"/>
    <s v="Fix"/>
    <s v="Feb-2017"/>
    <x v="4"/>
  </r>
  <r>
    <n v="2017"/>
    <n v="2"/>
    <s v="February"/>
    <x v="5"/>
    <n v="4294.7699549999998"/>
    <n v="18"/>
    <n v="238.6"/>
    <n v="4.1111110000000002"/>
    <n v="0"/>
    <n v="0"/>
    <s v="Fix"/>
    <s v="Feb-2017"/>
    <x v="4"/>
  </r>
  <r>
    <n v="2017"/>
    <n v="2"/>
    <s v="February"/>
    <x v="36"/>
    <n v="3791.6299589999999"/>
    <n v="15"/>
    <n v="252.78"/>
    <n v="3.785714"/>
    <n v="2"/>
    <n v="13.33"/>
    <s v="Fix"/>
    <s v="Feb-2017"/>
    <x v="4"/>
  </r>
  <r>
    <n v="2017"/>
    <n v="2"/>
    <s v="February"/>
    <x v="19"/>
    <n v="3729.0699840000002"/>
    <n v="37"/>
    <n v="100.79"/>
    <n v="4.27027"/>
    <n v="0"/>
    <n v="0"/>
    <s v="Fix"/>
    <s v="Feb-2017"/>
    <x v="4"/>
  </r>
  <r>
    <n v="2017"/>
    <n v="2"/>
    <s v="February"/>
    <x v="32"/>
    <n v="3549"/>
    <n v="1"/>
    <n v="3549"/>
    <n v="5"/>
    <n v="0"/>
    <n v="0"/>
    <s v="Fix"/>
    <s v="Feb-2017"/>
    <x v="4"/>
  </r>
  <r>
    <n v="2017"/>
    <n v="2"/>
    <s v="February"/>
    <x v="9"/>
    <n v="3095.2999570000002"/>
    <n v="12"/>
    <n v="257.94"/>
    <n v="2.7272720000000001"/>
    <n v="0"/>
    <n v="0"/>
    <s v="Fix"/>
    <s v="Feb-2017"/>
    <x v="4"/>
  </r>
  <r>
    <n v="2017"/>
    <n v="2"/>
    <s v="February"/>
    <x v="10"/>
    <n v="3048.4800049999999"/>
    <n v="33"/>
    <n v="92.38"/>
    <n v="4.1875"/>
    <n v="0"/>
    <n v="0"/>
    <s v="Fix"/>
    <s v="Feb-2017"/>
    <x v="4"/>
  </r>
  <r>
    <n v="2017"/>
    <n v="2"/>
    <s v="February"/>
    <x v="20"/>
    <n v="2374.1100200000001"/>
    <n v="35"/>
    <n v="67.83"/>
    <n v="4.1714279999999997"/>
    <n v="0"/>
    <n v="0"/>
    <s v="Fix"/>
    <s v="Feb-2017"/>
    <x v="4"/>
  </r>
  <r>
    <n v="2017"/>
    <n v="2"/>
    <s v="February"/>
    <x v="35"/>
    <n v="2341.3999720000002"/>
    <n v="19"/>
    <n v="123.23"/>
    <n v="4.5263150000000003"/>
    <n v="0"/>
    <n v="0"/>
    <s v="Fix"/>
    <s v="Feb-2017"/>
    <x v="4"/>
  </r>
  <r>
    <n v="2017"/>
    <n v="2"/>
    <s v="February"/>
    <x v="38"/>
    <n v="2221.2800050000001"/>
    <n v="8"/>
    <n v="277.66000000000003"/>
    <n v="4.5"/>
    <n v="0"/>
    <n v="0"/>
    <s v="Fix"/>
    <s v="Feb-2017"/>
    <x v="4"/>
  </r>
  <r>
    <n v="2017"/>
    <n v="2"/>
    <s v="February"/>
    <x v="37"/>
    <n v="1694.1800040000001"/>
    <n v="20"/>
    <n v="84.71"/>
    <n v="4.3499999999999996"/>
    <n v="0"/>
    <n v="0"/>
    <s v="Fix"/>
    <s v="Feb-2017"/>
    <x v="4"/>
  </r>
  <r>
    <n v="2017"/>
    <n v="2"/>
    <s v="February"/>
    <x v="14"/>
    <n v="1688.219994"/>
    <n v="19"/>
    <n v="88.85"/>
    <n v="3.7894730000000001"/>
    <n v="1"/>
    <n v="5.26"/>
    <s v="Fix"/>
    <s v="Feb-2017"/>
    <x v="4"/>
  </r>
  <r>
    <n v="2017"/>
    <n v="2"/>
    <s v="February"/>
    <x v="13"/>
    <n v="1218.8500059999999"/>
    <n v="14"/>
    <n v="87.06"/>
    <n v="4.071428"/>
    <n v="0"/>
    <n v="0"/>
    <s v="Fix"/>
    <s v="Feb-2017"/>
    <x v="4"/>
  </r>
  <r>
    <n v="2017"/>
    <n v="2"/>
    <s v="February"/>
    <x v="48"/>
    <n v="792"/>
    <n v="8"/>
    <n v="99"/>
    <n v="4.25"/>
    <n v="0"/>
    <n v="0"/>
    <s v="Fix"/>
    <s v="Feb-2017"/>
    <x v="4"/>
  </r>
  <r>
    <n v="2017"/>
    <n v="2"/>
    <s v="February"/>
    <x v="26"/>
    <n v="772.7099991"/>
    <n v="8"/>
    <n v="96.59"/>
    <n v="4.375"/>
    <n v="0"/>
    <n v="0"/>
    <s v="Fix"/>
    <s v="Feb-2017"/>
    <x v="4"/>
  </r>
  <r>
    <n v="2017"/>
    <n v="2"/>
    <s v="February"/>
    <x v="18"/>
    <n v="759.23000809999996"/>
    <n v="18"/>
    <n v="42.18"/>
    <n v="4.1666660000000002"/>
    <n v="0"/>
    <n v="0"/>
    <s v="Fix"/>
    <s v="Feb-2017"/>
    <x v="4"/>
  </r>
  <r>
    <n v="2017"/>
    <n v="2"/>
    <s v="February"/>
    <x v="49"/>
    <n v="740.90000150000003"/>
    <n v="7"/>
    <n v="105.84"/>
    <n v="4.1428570000000002"/>
    <n v="0"/>
    <n v="0"/>
    <s v="Fix"/>
    <s v="Feb-2017"/>
    <x v="4"/>
  </r>
  <r>
    <n v="2017"/>
    <n v="2"/>
    <s v="February"/>
    <x v="27"/>
    <n v="715.62997629999995"/>
    <n v="9"/>
    <n v="79.510000000000005"/>
    <n v="3.8888880000000001"/>
    <n v="0"/>
    <n v="0"/>
    <s v="Fix"/>
    <s v="Feb-2017"/>
    <x v="4"/>
  </r>
  <r>
    <n v="2017"/>
    <n v="2"/>
    <s v="February"/>
    <x v="50"/>
    <n v="695.59997559999999"/>
    <n v="3"/>
    <n v="231.87"/>
    <n v="5"/>
    <n v="0"/>
    <n v="0"/>
    <s v="Fix"/>
    <s v="Feb-2017"/>
    <x v="4"/>
  </r>
  <r>
    <n v="2017"/>
    <n v="2"/>
    <s v="February"/>
    <x v="31"/>
    <n v="642.84999849999997"/>
    <n v="7"/>
    <n v="91.84"/>
    <n v="4.1428570000000002"/>
    <n v="0"/>
    <n v="0"/>
    <s v="Fix"/>
    <s v="Feb-2017"/>
    <x v="4"/>
  </r>
  <r>
    <n v="2017"/>
    <n v="2"/>
    <s v="February"/>
    <x v="51"/>
    <n v="579.97998050000001"/>
    <n v="1"/>
    <n v="579.98"/>
    <n v="5"/>
    <n v="0"/>
    <n v="0"/>
    <s v="Fix"/>
    <s v="Feb-2017"/>
    <x v="4"/>
  </r>
  <r>
    <n v="2017"/>
    <n v="2"/>
    <s v="February"/>
    <x v="29"/>
    <n v="457.7999954"/>
    <n v="4"/>
    <n v="114.45"/>
    <n v="3"/>
    <n v="0"/>
    <n v="0"/>
    <s v="Fix"/>
    <s v="Feb-2017"/>
    <x v="4"/>
  </r>
  <r>
    <n v="2017"/>
    <n v="2"/>
    <s v="February"/>
    <x v="43"/>
    <n v="450"/>
    <n v="1"/>
    <n v="450"/>
    <n v="5"/>
    <n v="0"/>
    <n v="0"/>
    <s v="Fix"/>
    <s v="Feb-2017"/>
    <x v="4"/>
  </r>
  <r>
    <n v="2017"/>
    <n v="2"/>
    <s v="February"/>
    <x v="52"/>
    <n v="414.6600037"/>
    <n v="3"/>
    <n v="138.22"/>
    <n v="3"/>
    <n v="0"/>
    <n v="0"/>
    <s v="Fix"/>
    <s v="Feb-2017"/>
    <x v="4"/>
  </r>
  <r>
    <n v="2017"/>
    <n v="2"/>
    <s v="February"/>
    <x v="41"/>
    <n v="396.96999929999998"/>
    <n v="6"/>
    <n v="66.16"/>
    <n v="4.3333329999999997"/>
    <n v="0"/>
    <n v="0"/>
    <s v="Fix"/>
    <s v="Feb-2017"/>
    <x v="4"/>
  </r>
  <r>
    <n v="2017"/>
    <n v="2"/>
    <s v="February"/>
    <x v="53"/>
    <n v="379"/>
    <n v="1"/>
    <n v="379"/>
    <n v="5"/>
    <n v="0"/>
    <n v="0"/>
    <s v="Fix"/>
    <s v="Feb-2017"/>
    <x v="4"/>
  </r>
  <r>
    <n v="2017"/>
    <n v="2"/>
    <s v="February"/>
    <x v="39"/>
    <n v="336.78998949999999"/>
    <n v="3"/>
    <n v="112.26"/>
    <n v="5"/>
    <n v="0"/>
    <n v="0"/>
    <s v="Fix"/>
    <s v="Feb-2017"/>
    <x v="4"/>
  </r>
  <r>
    <n v="2017"/>
    <n v="2"/>
    <s v="February"/>
    <x v="45"/>
    <n v="224.84000019999999"/>
    <n v="7"/>
    <n v="32.119999999999997"/>
    <n v="3.8571420000000001"/>
    <n v="0"/>
    <n v="0"/>
    <s v="Fix"/>
    <s v="Feb-2017"/>
    <x v="4"/>
  </r>
  <r>
    <n v="2017"/>
    <n v="2"/>
    <s v="February"/>
    <x v="24"/>
    <n v="163.7999992"/>
    <n v="5"/>
    <n v="32.76"/>
    <n v="3.4"/>
    <n v="0"/>
    <n v="0"/>
    <s v="Fix"/>
    <s v="Feb-2017"/>
    <x v="4"/>
  </r>
  <r>
    <n v="2017"/>
    <n v="2"/>
    <s v="February"/>
    <x v="23"/>
    <n v="159"/>
    <n v="1"/>
    <n v="159"/>
    <n v="4"/>
    <n v="0"/>
    <n v="0"/>
    <s v="Fix"/>
    <s v="Feb-2017"/>
    <x v="4"/>
  </r>
  <r>
    <n v="2017"/>
    <n v="2"/>
    <s v="February"/>
    <x v="42"/>
    <n v="139.8999996"/>
    <n v="2"/>
    <n v="69.95"/>
    <n v="4"/>
    <n v="0"/>
    <n v="0"/>
    <s v="Fix"/>
    <s v="Feb-2017"/>
    <x v="4"/>
  </r>
  <r>
    <n v="2017"/>
    <n v="2"/>
    <s v="February"/>
    <x v="22"/>
    <n v="119"/>
    <n v="1"/>
    <n v="119"/>
    <n v="5"/>
    <n v="0"/>
    <n v="0"/>
    <s v="Fix"/>
    <s v="Feb-2017"/>
    <x v="4"/>
  </r>
  <r>
    <n v="2017"/>
    <n v="2"/>
    <s v="February"/>
    <x v="30"/>
    <n v="107.0500031"/>
    <n v="2"/>
    <n v="53.53"/>
    <n v="4.5"/>
    <n v="0"/>
    <n v="0"/>
    <s v="Fix"/>
    <s v="Feb-2017"/>
    <x v="4"/>
  </r>
  <r>
    <n v="2017"/>
    <n v="2"/>
    <s v="February"/>
    <x v="54"/>
    <n v="99"/>
    <n v="1"/>
    <n v="99"/>
    <n v="1"/>
    <n v="0"/>
    <n v="0"/>
    <s v="Fix"/>
    <s v="Feb-2017"/>
    <x v="4"/>
  </r>
  <r>
    <n v="2017"/>
    <n v="2"/>
    <s v="February"/>
    <x v="55"/>
    <n v="59"/>
    <n v="1"/>
    <n v="59"/>
    <n v="5"/>
    <n v="0"/>
    <n v="0"/>
    <s v="Fix"/>
    <s v="Feb-2017"/>
    <x v="4"/>
  </r>
  <r>
    <n v="2017"/>
    <n v="2"/>
    <s v="February"/>
    <x v="33"/>
    <n v="15.989999770000001"/>
    <n v="1"/>
    <n v="15.99"/>
    <n v="5"/>
    <n v="0"/>
    <n v="0"/>
    <s v="Fix"/>
    <s v="Feb-2017"/>
    <x v="4"/>
  </r>
  <r>
    <n v="2017"/>
    <n v="2"/>
    <s v="February"/>
    <x v="46"/>
    <n v="14.899999619999999"/>
    <n v="1"/>
    <n v="14.9"/>
    <n v="4"/>
    <n v="0"/>
    <n v="0"/>
    <s v="Fix"/>
    <s v="Feb-2017"/>
    <x v="4"/>
  </r>
  <r>
    <n v="2017"/>
    <n v="3"/>
    <s v="March"/>
    <x v="11"/>
    <n v="28624.599569999998"/>
    <n v="150"/>
    <n v="190.83"/>
    <n v="3.9932880000000002"/>
    <n v="1"/>
    <n v="0.67"/>
    <s v="Fix"/>
    <s v="Mar-2017"/>
    <x v="5"/>
  </r>
  <r>
    <n v="2017"/>
    <n v="3"/>
    <s v="March"/>
    <x v="7"/>
    <n v="27001.589960000001"/>
    <n v="171"/>
    <n v="157.9"/>
    <n v="4.2"/>
    <n v="2"/>
    <n v="1.17"/>
    <s v="Fix"/>
    <s v="Mar-2017"/>
    <x v="5"/>
  </r>
  <r>
    <n v="2017"/>
    <n v="3"/>
    <s v="March"/>
    <x v="6"/>
    <n v="26770.379939999999"/>
    <n v="76"/>
    <n v="352.24"/>
    <n v="4.2133330000000004"/>
    <n v="1"/>
    <n v="1.32"/>
    <s v="Fix"/>
    <s v="Mar-2017"/>
    <x v="5"/>
  </r>
  <r>
    <n v="2017"/>
    <n v="3"/>
    <s v="March"/>
    <x v="0"/>
    <n v="25995.25"/>
    <n v="193"/>
    <n v="134.69"/>
    <n v="4.2760410000000002"/>
    <n v="1"/>
    <n v="0.52"/>
    <s v="Fix"/>
    <s v="Mar-2017"/>
    <x v="5"/>
  </r>
  <r>
    <n v="2017"/>
    <n v="3"/>
    <s v="March"/>
    <x v="21"/>
    <n v="25773.019970000001"/>
    <n v="249"/>
    <n v="103.51"/>
    <n v="3.9676110000000002"/>
    <n v="0"/>
    <n v="0"/>
    <s v="Fix"/>
    <s v="Mar-2017"/>
    <x v="5"/>
  </r>
  <r>
    <n v="2017"/>
    <n v="3"/>
    <s v="March"/>
    <x v="12"/>
    <n v="23747.150010000001"/>
    <n v="121"/>
    <n v="196.26"/>
    <n v="3.9915959999999999"/>
    <n v="1"/>
    <n v="0.83"/>
    <s v="Fix"/>
    <s v="Mar-2017"/>
    <x v="5"/>
  </r>
  <r>
    <n v="2017"/>
    <n v="3"/>
    <s v="March"/>
    <x v="1"/>
    <n v="23477.630099999998"/>
    <n v="265"/>
    <n v="88.59"/>
    <n v="3.9619770000000001"/>
    <n v="1"/>
    <n v="0.38"/>
    <s v="Fix"/>
    <s v="Mar-2017"/>
    <x v="5"/>
  </r>
  <r>
    <n v="2017"/>
    <n v="3"/>
    <s v="March"/>
    <x v="17"/>
    <n v="21095.210070000001"/>
    <n v="121"/>
    <n v="174.34"/>
    <n v="4.4214869999999999"/>
    <n v="1"/>
    <n v="0.83"/>
    <s v="Fix"/>
    <s v="Mar-2017"/>
    <x v="5"/>
  </r>
  <r>
    <n v="2017"/>
    <n v="3"/>
    <s v="March"/>
    <x v="3"/>
    <n v="19808.129700000001"/>
    <n v="104"/>
    <n v="190.46"/>
    <n v="4.2038830000000003"/>
    <n v="0"/>
    <n v="0"/>
    <s v="Fix"/>
    <s v="Mar-2017"/>
    <x v="5"/>
  </r>
  <r>
    <n v="2017"/>
    <n v="3"/>
    <s v="March"/>
    <x v="8"/>
    <n v="14482.07006"/>
    <n v="76"/>
    <n v="190.55"/>
    <n v="4"/>
    <n v="5"/>
    <n v="6.58"/>
    <s v="Fix"/>
    <s v="Mar-2017"/>
    <x v="5"/>
  </r>
  <r>
    <n v="2017"/>
    <n v="3"/>
    <s v="March"/>
    <x v="16"/>
    <n v="13511.80991"/>
    <n v="178"/>
    <n v="75.91"/>
    <n v="4.1158190000000001"/>
    <n v="2"/>
    <n v="1.1200000000000001"/>
    <s v="Fix"/>
    <s v="Mar-2017"/>
    <x v="5"/>
  </r>
  <r>
    <n v="2017"/>
    <n v="3"/>
    <s v="March"/>
    <x v="4"/>
    <n v="12429.470090000001"/>
    <n v="100"/>
    <n v="124.29"/>
    <n v="4.4000000000000004"/>
    <n v="0"/>
    <n v="0"/>
    <s v="Fix"/>
    <s v="Mar-2017"/>
    <x v="5"/>
  </r>
  <r>
    <n v="2017"/>
    <n v="3"/>
    <s v="March"/>
    <x v="15"/>
    <n v="11783.51009"/>
    <n v="60"/>
    <n v="196.39"/>
    <n v="3.4237280000000001"/>
    <n v="0"/>
    <n v="0"/>
    <s v="Fix"/>
    <s v="Mar-2017"/>
    <x v="5"/>
  </r>
  <r>
    <n v="2017"/>
    <n v="3"/>
    <s v="March"/>
    <x v="34"/>
    <n v="11171.060009999999"/>
    <n v="31"/>
    <n v="360.36"/>
    <n v="4.7"/>
    <n v="0"/>
    <n v="0"/>
    <s v="Fix"/>
    <s v="Mar-2017"/>
    <x v="5"/>
  </r>
  <r>
    <n v="2017"/>
    <n v="3"/>
    <s v="March"/>
    <x v="5"/>
    <n v="10768.84001"/>
    <n v="48"/>
    <n v="224.35"/>
    <n v="3.8936169999999999"/>
    <n v="1"/>
    <n v="2.08"/>
    <s v="Fix"/>
    <s v="Mar-2017"/>
    <x v="5"/>
  </r>
  <r>
    <n v="2017"/>
    <n v="3"/>
    <s v="March"/>
    <x v="19"/>
    <n v="8369.9599990000006"/>
    <n v="41"/>
    <n v="204.15"/>
    <n v="4.4146340000000004"/>
    <n v="0"/>
    <n v="0"/>
    <s v="Fix"/>
    <s v="Mar-2017"/>
    <x v="5"/>
  </r>
  <r>
    <n v="2017"/>
    <n v="3"/>
    <s v="March"/>
    <x v="2"/>
    <n v="8121.0500140000004"/>
    <n v="159"/>
    <n v="51.08"/>
    <n v="3.8993709999999999"/>
    <n v="2"/>
    <n v="1.26"/>
    <s v="Fix"/>
    <s v="Mar-2017"/>
    <x v="5"/>
  </r>
  <r>
    <n v="2017"/>
    <n v="3"/>
    <s v="March"/>
    <x v="28"/>
    <n v="6714.1699959999996"/>
    <n v="57"/>
    <n v="117.79"/>
    <s v="NULL"/>
    <s v="NULL"/>
    <s v="NULL"/>
    <s v="Fix"/>
    <s v="Mar-2017"/>
    <x v="5"/>
  </r>
  <r>
    <n v="2017"/>
    <n v="3"/>
    <s v="March"/>
    <x v="37"/>
    <n v="5924.0100400000001"/>
    <n v="35"/>
    <n v="169.26"/>
    <n v="4.5999999999999996"/>
    <n v="0"/>
    <n v="0"/>
    <s v="Fix"/>
    <s v="Mar-2017"/>
    <x v="5"/>
  </r>
  <r>
    <n v="2017"/>
    <n v="3"/>
    <s v="March"/>
    <x v="35"/>
    <n v="5902.6199930000002"/>
    <n v="56"/>
    <n v="105.4"/>
    <n v="4.5636359999999998"/>
    <n v="0"/>
    <n v="0"/>
    <s v="Fix"/>
    <s v="Mar-2017"/>
    <x v="5"/>
  </r>
  <r>
    <n v="2017"/>
    <n v="3"/>
    <s v="March"/>
    <x v="20"/>
    <n v="4861.1600070000004"/>
    <n v="62"/>
    <n v="78.41"/>
    <n v="4.4426220000000001"/>
    <n v="0"/>
    <n v="0"/>
    <s v="Fix"/>
    <s v="Mar-2017"/>
    <x v="5"/>
  </r>
  <r>
    <n v="2017"/>
    <n v="3"/>
    <s v="March"/>
    <x v="9"/>
    <n v="4103.8099819999998"/>
    <n v="16"/>
    <n v="256.49"/>
    <n v="4.375"/>
    <n v="0"/>
    <n v="0"/>
    <s v="Fix"/>
    <s v="Mar-2017"/>
    <x v="5"/>
  </r>
  <r>
    <n v="2017"/>
    <n v="3"/>
    <s v="March"/>
    <x v="13"/>
    <n v="3985.9999849999999"/>
    <n v="32"/>
    <n v="124.56"/>
    <n v="4.34375"/>
    <n v="0"/>
    <n v="0"/>
    <s v="Fix"/>
    <s v="Mar-2017"/>
    <x v="5"/>
  </r>
  <r>
    <n v="2017"/>
    <n v="3"/>
    <s v="March"/>
    <x v="10"/>
    <n v="3724.0799849999999"/>
    <n v="43"/>
    <n v="86.61"/>
    <n v="4.2558129999999998"/>
    <n v="0"/>
    <n v="0"/>
    <s v="Fix"/>
    <s v="Mar-2017"/>
    <x v="5"/>
  </r>
  <r>
    <n v="2017"/>
    <n v="3"/>
    <s v="March"/>
    <x v="36"/>
    <n v="3324"/>
    <n v="17"/>
    <n v="195.53"/>
    <n v="4.1875"/>
    <n v="0"/>
    <n v="0"/>
    <s v="Fix"/>
    <s v="Mar-2017"/>
    <x v="5"/>
  </r>
  <r>
    <n v="2017"/>
    <n v="3"/>
    <s v="March"/>
    <x v="27"/>
    <n v="2667.5599609999999"/>
    <n v="22"/>
    <n v="121.25"/>
    <n v="3.8636360000000001"/>
    <n v="0"/>
    <n v="0"/>
    <s v="Fix"/>
    <s v="Mar-2017"/>
    <x v="5"/>
  </r>
  <r>
    <n v="2017"/>
    <n v="3"/>
    <s v="March"/>
    <x v="26"/>
    <n v="2648.9600019999998"/>
    <n v="20"/>
    <n v="132.44999999999999"/>
    <n v="4.2"/>
    <n v="1"/>
    <n v="5"/>
    <s v="Fix"/>
    <s v="Mar-2017"/>
    <x v="5"/>
  </r>
  <r>
    <n v="2017"/>
    <n v="3"/>
    <s v="March"/>
    <x v="52"/>
    <n v="2123.4000080000001"/>
    <n v="12"/>
    <n v="176.95"/>
    <n v="3.75"/>
    <n v="0"/>
    <n v="0"/>
    <s v="Fix"/>
    <s v="Mar-2017"/>
    <x v="5"/>
  </r>
  <r>
    <n v="2017"/>
    <n v="3"/>
    <s v="March"/>
    <x v="46"/>
    <n v="1873.6999989999999"/>
    <n v="4"/>
    <n v="468.42"/>
    <n v="2.75"/>
    <n v="1"/>
    <n v="25"/>
    <s v="Fix"/>
    <s v="Mar-2017"/>
    <x v="5"/>
  </r>
  <r>
    <n v="2017"/>
    <n v="3"/>
    <s v="March"/>
    <x v="14"/>
    <n v="1808.5899830000001"/>
    <n v="17"/>
    <n v="106.39"/>
    <n v="4.4117639999999998"/>
    <n v="0"/>
    <n v="0"/>
    <s v="Fix"/>
    <s v="Mar-2017"/>
    <x v="5"/>
  </r>
  <r>
    <n v="2017"/>
    <n v="3"/>
    <s v="March"/>
    <x v="38"/>
    <n v="1667.3299930000001"/>
    <n v="9"/>
    <n v="185.26"/>
    <n v="2.8888880000000001"/>
    <n v="0"/>
    <n v="0"/>
    <s v="Fix"/>
    <s v="Mar-2017"/>
    <x v="5"/>
  </r>
  <r>
    <n v="2017"/>
    <n v="3"/>
    <s v="March"/>
    <x v="18"/>
    <n v="1592.35004"/>
    <n v="15"/>
    <n v="106.16"/>
    <n v="3.466666"/>
    <n v="1"/>
    <n v="6.67"/>
    <s v="Fix"/>
    <s v="Mar-2017"/>
    <x v="5"/>
  </r>
  <r>
    <n v="2017"/>
    <n v="3"/>
    <s v="March"/>
    <x v="30"/>
    <n v="1514.9999809999999"/>
    <n v="13"/>
    <n v="116.54"/>
    <n v="4.5384609999999999"/>
    <n v="0"/>
    <n v="0"/>
    <s v="Fix"/>
    <s v="Mar-2017"/>
    <x v="5"/>
  </r>
  <r>
    <n v="2017"/>
    <n v="3"/>
    <s v="March"/>
    <x v="24"/>
    <n v="1134.770008"/>
    <n v="13"/>
    <n v="87.29"/>
    <n v="3.8461530000000002"/>
    <n v="0"/>
    <n v="0"/>
    <s v="Fix"/>
    <s v="Mar-2017"/>
    <x v="5"/>
  </r>
  <r>
    <n v="2017"/>
    <n v="3"/>
    <s v="March"/>
    <x v="39"/>
    <n v="773.40000150000003"/>
    <n v="4"/>
    <n v="193.35"/>
    <n v="1.75"/>
    <n v="1"/>
    <n v="25"/>
    <s v="Fix"/>
    <s v="Mar-2017"/>
    <x v="5"/>
  </r>
  <r>
    <n v="2017"/>
    <n v="3"/>
    <s v="March"/>
    <x v="50"/>
    <n v="591.96000670000001"/>
    <n v="5"/>
    <n v="118.39"/>
    <n v="3.6"/>
    <n v="0"/>
    <n v="0"/>
    <s v="Fix"/>
    <s v="Mar-2017"/>
    <x v="5"/>
  </r>
  <r>
    <n v="2017"/>
    <n v="3"/>
    <s v="March"/>
    <x v="31"/>
    <n v="580.79999729999997"/>
    <n v="7"/>
    <n v="82.97"/>
    <n v="3.8571420000000001"/>
    <n v="0"/>
    <n v="0"/>
    <s v="Fix"/>
    <s v="Mar-2017"/>
    <x v="5"/>
  </r>
  <r>
    <n v="2017"/>
    <n v="3"/>
    <s v="March"/>
    <x v="33"/>
    <n v="500.8999996"/>
    <n v="2"/>
    <n v="250.45"/>
    <n v="4"/>
    <n v="0"/>
    <n v="0"/>
    <s v="Fix"/>
    <s v="Mar-2017"/>
    <x v="5"/>
  </r>
  <r>
    <n v="2017"/>
    <n v="3"/>
    <s v="March"/>
    <x v="48"/>
    <n v="495"/>
    <n v="5"/>
    <n v="99"/>
    <n v="3.2"/>
    <n v="0"/>
    <n v="0"/>
    <s v="Fix"/>
    <s v="Mar-2017"/>
    <x v="5"/>
  </r>
  <r>
    <n v="2017"/>
    <n v="3"/>
    <s v="March"/>
    <x v="56"/>
    <n v="463.86999889999998"/>
    <n v="4"/>
    <n v="115.97"/>
    <n v="3.5"/>
    <n v="0"/>
    <n v="0"/>
    <s v="Fix"/>
    <s v="Mar-2017"/>
    <x v="5"/>
  </r>
  <r>
    <n v="2017"/>
    <n v="3"/>
    <s v="March"/>
    <x v="41"/>
    <n v="394.13999990000002"/>
    <n v="6"/>
    <n v="65.69"/>
    <n v="3.8333330000000001"/>
    <n v="0"/>
    <n v="0"/>
    <s v="Fix"/>
    <s v="Mar-2017"/>
    <x v="5"/>
  </r>
  <r>
    <n v="2017"/>
    <n v="3"/>
    <s v="March"/>
    <x v="53"/>
    <n v="380"/>
    <n v="2"/>
    <n v="190"/>
    <n v="1"/>
    <n v="0"/>
    <n v="0"/>
    <s v="Fix"/>
    <s v="Mar-2017"/>
    <x v="5"/>
  </r>
  <r>
    <n v="2017"/>
    <n v="3"/>
    <s v="March"/>
    <x v="44"/>
    <n v="342.88000299999999"/>
    <n v="3"/>
    <n v="114.29"/>
    <n v="4.6666660000000002"/>
    <n v="0"/>
    <n v="0"/>
    <s v="Fix"/>
    <s v="Mar-2017"/>
    <x v="5"/>
  </r>
  <r>
    <n v="2017"/>
    <n v="3"/>
    <s v="March"/>
    <x v="49"/>
    <n v="313.30000690000003"/>
    <n v="9"/>
    <n v="34.81"/>
    <n v="4.2222220000000004"/>
    <n v="0"/>
    <n v="0"/>
    <s v="Fix"/>
    <s v="Mar-2017"/>
    <x v="5"/>
  </r>
  <r>
    <n v="2017"/>
    <n v="3"/>
    <s v="March"/>
    <x v="22"/>
    <n v="238"/>
    <n v="2"/>
    <n v="119"/>
    <n v="4"/>
    <n v="0"/>
    <n v="0"/>
    <s v="Fix"/>
    <s v="Mar-2017"/>
    <x v="5"/>
  </r>
  <r>
    <n v="2017"/>
    <n v="3"/>
    <s v="March"/>
    <x v="57"/>
    <n v="223.25"/>
    <n v="5"/>
    <n v="44.65"/>
    <n v="4"/>
    <n v="0"/>
    <n v="0"/>
    <s v="Fix"/>
    <s v="Mar-2017"/>
    <x v="5"/>
  </r>
  <r>
    <n v="2017"/>
    <n v="3"/>
    <s v="March"/>
    <x v="42"/>
    <n v="113.98000140000001"/>
    <n v="3"/>
    <n v="37.99"/>
    <n v="4"/>
    <n v="0"/>
    <n v="0"/>
    <s v="Fix"/>
    <s v="Mar-2017"/>
    <x v="5"/>
  </r>
  <r>
    <n v="2017"/>
    <n v="3"/>
    <s v="March"/>
    <x v="58"/>
    <n v="110.7999992"/>
    <n v="5"/>
    <n v="22.16"/>
    <n v="5"/>
    <n v="1"/>
    <n v="20"/>
    <s v="Fix"/>
    <s v="Mar-2017"/>
    <x v="5"/>
  </r>
  <r>
    <n v="2017"/>
    <n v="3"/>
    <s v="March"/>
    <x v="45"/>
    <n v="81.990001680000006"/>
    <n v="2"/>
    <n v="41"/>
    <n v="2"/>
    <n v="0"/>
    <n v="0"/>
    <s v="Fix"/>
    <s v="Mar-2017"/>
    <x v="5"/>
  </r>
  <r>
    <n v="2017"/>
    <n v="3"/>
    <s v="March"/>
    <x v="23"/>
    <n v="75"/>
    <n v="2"/>
    <n v="37.5"/>
    <n v="5"/>
    <n v="0"/>
    <n v="0"/>
    <s v="Fix"/>
    <s v="Mar-2017"/>
    <x v="5"/>
  </r>
  <r>
    <n v="2017"/>
    <n v="3"/>
    <s v="March"/>
    <x v="59"/>
    <n v="75"/>
    <n v="1"/>
    <n v="75"/>
    <n v="1"/>
    <n v="0"/>
    <n v="0"/>
    <s v="Fix"/>
    <s v="Mar-2017"/>
    <x v="5"/>
  </r>
  <r>
    <n v="2017"/>
    <n v="3"/>
    <s v="March"/>
    <x v="60"/>
    <n v="39.900001529999997"/>
    <n v="1"/>
    <n v="39.9"/>
    <n v="5"/>
    <n v="0"/>
    <n v="0"/>
    <s v="Fix"/>
    <s v="Mar-2017"/>
    <x v="5"/>
  </r>
  <r>
    <n v="2017"/>
    <n v="3"/>
    <s v="March"/>
    <x v="47"/>
    <n v="27.989999770000001"/>
    <n v="1"/>
    <n v="27.99"/>
    <n v="5"/>
    <n v="0"/>
    <n v="0"/>
    <s v="Fix"/>
    <s v="Mar-2017"/>
    <x v="5"/>
  </r>
  <r>
    <n v="2017"/>
    <n v="3"/>
    <s v="March"/>
    <x v="29"/>
    <n v="19.899999619999999"/>
    <n v="1"/>
    <n v="19.899999999999999"/>
    <n v="3"/>
    <n v="0"/>
    <n v="0"/>
    <s v="Fix"/>
    <s v="Mar-2017"/>
    <x v="5"/>
  </r>
  <r>
    <n v="2017"/>
    <n v="4"/>
    <s v="April"/>
    <x v="7"/>
    <n v="24864.33"/>
    <n v="198"/>
    <n v="125.58"/>
    <n v="4.0615379999999996"/>
    <n v="4"/>
    <n v="2.02"/>
    <s v="Fix"/>
    <s v="Apr-2017"/>
    <x v="6"/>
  </r>
  <r>
    <n v="2017"/>
    <n v="4"/>
    <s v="April"/>
    <x v="21"/>
    <n v="24347.69008"/>
    <n v="234"/>
    <n v="104.05"/>
    <n v="3.9871240000000001"/>
    <n v="0"/>
    <n v="0"/>
    <s v="Fix"/>
    <s v="Apr-2017"/>
    <x v="6"/>
  </r>
  <r>
    <n v="2017"/>
    <n v="4"/>
    <s v="April"/>
    <x v="6"/>
    <n v="23487.77982"/>
    <n v="90"/>
    <n v="260.98"/>
    <n v="4.0444440000000004"/>
    <n v="1"/>
    <n v="1.1100000000000001"/>
    <s v="Fix"/>
    <s v="Apr-2017"/>
    <x v="6"/>
  </r>
  <r>
    <n v="2017"/>
    <n v="4"/>
    <s v="April"/>
    <x v="34"/>
    <n v="23253.98"/>
    <n v="21"/>
    <n v="1107.33"/>
    <n v="3.7619039999999999"/>
    <n v="0"/>
    <n v="0"/>
    <s v="Fix"/>
    <s v="Apr-2017"/>
    <x v="6"/>
  </r>
  <r>
    <n v="2017"/>
    <n v="4"/>
    <s v="April"/>
    <x v="0"/>
    <n v="22935.749909999999"/>
    <n v="176"/>
    <n v="130.32"/>
    <n v="4.0689650000000004"/>
    <n v="1"/>
    <n v="0.56999999999999995"/>
    <s v="Fix"/>
    <s v="Apr-2017"/>
    <x v="6"/>
  </r>
  <r>
    <n v="2017"/>
    <n v="4"/>
    <s v="April"/>
    <x v="17"/>
    <n v="21822.080170000001"/>
    <n v="119"/>
    <n v="183.38"/>
    <n v="4"/>
    <n v="1"/>
    <n v="0.84"/>
    <s v="Fix"/>
    <s v="Apr-2017"/>
    <x v="6"/>
  </r>
  <r>
    <n v="2017"/>
    <n v="4"/>
    <s v="April"/>
    <x v="1"/>
    <n v="21690.419910000001"/>
    <n v="169"/>
    <n v="128.35"/>
    <n v="3.9640710000000001"/>
    <n v="2"/>
    <n v="1.18"/>
    <s v="Fix"/>
    <s v="Apr-2017"/>
    <x v="6"/>
  </r>
  <r>
    <n v="2017"/>
    <n v="4"/>
    <s v="April"/>
    <x v="12"/>
    <n v="20809.279979999999"/>
    <n v="99"/>
    <n v="210.19"/>
    <n v="4.0505050000000002"/>
    <n v="2"/>
    <n v="2.02"/>
    <s v="Fix"/>
    <s v="Apr-2017"/>
    <x v="6"/>
  </r>
  <r>
    <n v="2017"/>
    <n v="4"/>
    <s v="April"/>
    <x v="11"/>
    <n v="20691.060020000001"/>
    <n v="120"/>
    <n v="172.43"/>
    <n v="3.949579"/>
    <n v="1"/>
    <n v="0.83"/>
    <s v="Fix"/>
    <s v="Apr-2017"/>
    <x v="6"/>
  </r>
  <r>
    <n v="2017"/>
    <n v="4"/>
    <s v="April"/>
    <x v="3"/>
    <n v="19891.10973"/>
    <n v="101"/>
    <n v="196.94"/>
    <n v="4.0396029999999996"/>
    <n v="0"/>
    <n v="0"/>
    <s v="Fix"/>
    <s v="Apr-2017"/>
    <x v="6"/>
  </r>
  <r>
    <n v="2017"/>
    <n v="4"/>
    <s v="April"/>
    <x v="8"/>
    <n v="15548.17002"/>
    <n v="81"/>
    <n v="191.95"/>
    <n v="3.9259249999999999"/>
    <n v="0"/>
    <n v="0"/>
    <s v="Fix"/>
    <s v="Apr-2017"/>
    <x v="6"/>
  </r>
  <r>
    <n v="2017"/>
    <n v="4"/>
    <s v="April"/>
    <x v="16"/>
    <n v="15028.839980000001"/>
    <n v="144"/>
    <n v="104.37"/>
    <n v="3.9652769999999999"/>
    <n v="2"/>
    <n v="1.39"/>
    <s v="Fix"/>
    <s v="Apr-2017"/>
    <x v="6"/>
  </r>
  <r>
    <n v="2017"/>
    <n v="4"/>
    <s v="April"/>
    <x v="4"/>
    <n v="13039.42994"/>
    <n v="103"/>
    <n v="126.6"/>
    <n v="4.227722"/>
    <n v="0"/>
    <n v="0"/>
    <s v="Fix"/>
    <s v="Apr-2017"/>
    <x v="6"/>
  </r>
  <r>
    <n v="2017"/>
    <n v="4"/>
    <s v="April"/>
    <x v="15"/>
    <n v="9411.3001170000007"/>
    <n v="48"/>
    <n v="196.07"/>
    <n v="3.875"/>
    <n v="0"/>
    <n v="0"/>
    <s v="Fix"/>
    <s v="Apr-2017"/>
    <x v="6"/>
  </r>
  <r>
    <n v="2017"/>
    <n v="4"/>
    <s v="April"/>
    <x v="28"/>
    <n v="8693.0900920000004"/>
    <n v="63"/>
    <n v="137.99"/>
    <s v="NULL"/>
    <s v="NULL"/>
    <s v="NULL"/>
    <s v="Fix"/>
    <s v="Apr-2017"/>
    <x v="6"/>
  </r>
  <r>
    <n v="2017"/>
    <n v="4"/>
    <s v="April"/>
    <x v="2"/>
    <n v="7245.8699660000002"/>
    <n v="141"/>
    <n v="51.39"/>
    <n v="4.179856"/>
    <n v="0"/>
    <n v="0"/>
    <s v="Fix"/>
    <s v="Apr-2017"/>
    <x v="6"/>
  </r>
  <r>
    <n v="2017"/>
    <n v="4"/>
    <s v="April"/>
    <x v="37"/>
    <n v="7150.1998979999998"/>
    <n v="47"/>
    <n v="152.13"/>
    <n v="4.4347820000000002"/>
    <n v="0"/>
    <n v="0"/>
    <s v="Fix"/>
    <s v="Apr-2017"/>
    <x v="6"/>
  </r>
  <r>
    <n v="2017"/>
    <n v="4"/>
    <s v="April"/>
    <x v="19"/>
    <n v="6182.8899940000001"/>
    <n v="46"/>
    <n v="134.41"/>
    <n v="4.1111110000000002"/>
    <n v="0"/>
    <n v="0"/>
    <s v="Fix"/>
    <s v="Apr-2017"/>
    <x v="6"/>
  </r>
  <r>
    <n v="2017"/>
    <n v="4"/>
    <s v="April"/>
    <x v="13"/>
    <n v="4822.2400440000001"/>
    <n v="47"/>
    <n v="102.6"/>
    <n v="4.1914889999999998"/>
    <n v="0"/>
    <n v="0"/>
    <s v="Fix"/>
    <s v="Apr-2017"/>
    <x v="6"/>
  </r>
  <r>
    <n v="2017"/>
    <n v="4"/>
    <s v="April"/>
    <x v="35"/>
    <n v="4606.3399909999998"/>
    <n v="36"/>
    <n v="127.95"/>
    <n v="4.3888879999999997"/>
    <n v="0"/>
    <n v="0"/>
    <s v="Fix"/>
    <s v="Apr-2017"/>
    <x v="6"/>
  </r>
  <r>
    <n v="2017"/>
    <n v="4"/>
    <s v="April"/>
    <x v="14"/>
    <n v="4090.1799700000001"/>
    <n v="20"/>
    <n v="204.51"/>
    <n v="3.75"/>
    <n v="0"/>
    <n v="0"/>
    <s v="Fix"/>
    <s v="Apr-2017"/>
    <x v="6"/>
  </r>
  <r>
    <n v="2017"/>
    <n v="4"/>
    <s v="April"/>
    <x v="10"/>
    <n v="3980.4500539999999"/>
    <n v="48"/>
    <n v="82.93"/>
    <n v="3.7916660000000002"/>
    <n v="0"/>
    <n v="0"/>
    <s v="Fix"/>
    <s v="Apr-2017"/>
    <x v="6"/>
  </r>
  <r>
    <n v="2017"/>
    <n v="4"/>
    <s v="April"/>
    <x v="38"/>
    <n v="3818.4299209999999"/>
    <n v="16"/>
    <n v="238.65"/>
    <n v="3.8125"/>
    <n v="0"/>
    <n v="0"/>
    <s v="Fix"/>
    <s v="Apr-2017"/>
    <x v="6"/>
  </r>
  <r>
    <n v="2017"/>
    <n v="4"/>
    <s v="April"/>
    <x v="5"/>
    <n v="3772.8800299999998"/>
    <n v="15"/>
    <n v="251.53"/>
    <n v="4.3333329999999997"/>
    <n v="0"/>
    <n v="0"/>
    <s v="Fix"/>
    <s v="Apr-2017"/>
    <x v="6"/>
  </r>
  <r>
    <n v="2017"/>
    <n v="4"/>
    <s v="April"/>
    <x v="20"/>
    <n v="3219.8000200000001"/>
    <n v="46"/>
    <n v="70"/>
    <n v="4.2173910000000001"/>
    <n v="0"/>
    <n v="0"/>
    <s v="Fix"/>
    <s v="Apr-2017"/>
    <x v="6"/>
  </r>
  <r>
    <n v="2017"/>
    <n v="4"/>
    <s v="April"/>
    <x v="18"/>
    <n v="2998.330003"/>
    <n v="7"/>
    <n v="428.33"/>
    <n v="3.7142849999999998"/>
    <n v="0"/>
    <n v="0"/>
    <s v="Fix"/>
    <s v="Apr-2017"/>
    <x v="6"/>
  </r>
  <r>
    <n v="2017"/>
    <n v="4"/>
    <s v="April"/>
    <x v="9"/>
    <n v="2582.2300110000001"/>
    <n v="14"/>
    <n v="184.45"/>
    <n v="4.5"/>
    <n v="0"/>
    <n v="0"/>
    <s v="Fix"/>
    <s v="Apr-2017"/>
    <x v="6"/>
  </r>
  <r>
    <n v="2017"/>
    <n v="4"/>
    <s v="April"/>
    <x v="52"/>
    <n v="2411.1000060000001"/>
    <n v="16"/>
    <n v="150.69"/>
    <n v="4.25"/>
    <n v="0"/>
    <n v="0"/>
    <s v="Fix"/>
    <s v="Apr-2017"/>
    <x v="6"/>
  </r>
  <r>
    <n v="2017"/>
    <n v="4"/>
    <s v="April"/>
    <x v="36"/>
    <n v="2073.3399869999998"/>
    <n v="11"/>
    <n v="188.49"/>
    <n v="4"/>
    <n v="0"/>
    <n v="0"/>
    <s v="Fix"/>
    <s v="Apr-2017"/>
    <x v="6"/>
  </r>
  <r>
    <n v="2017"/>
    <n v="4"/>
    <s v="April"/>
    <x v="50"/>
    <n v="1602.689957"/>
    <n v="5"/>
    <n v="320.54000000000002"/>
    <n v="4.2"/>
    <n v="0"/>
    <n v="0"/>
    <s v="Fix"/>
    <s v="Apr-2017"/>
    <x v="6"/>
  </r>
  <r>
    <n v="2017"/>
    <n v="4"/>
    <s v="April"/>
    <x v="30"/>
    <n v="1526.499998"/>
    <n v="20"/>
    <n v="76.319999999999993"/>
    <n v="4.6315780000000002"/>
    <n v="0"/>
    <n v="0"/>
    <s v="Fix"/>
    <s v="Apr-2017"/>
    <x v="6"/>
  </r>
  <r>
    <n v="2017"/>
    <n v="4"/>
    <s v="April"/>
    <x v="51"/>
    <n v="1490.2100559999999"/>
    <n v="7"/>
    <n v="212.89"/>
    <n v="4.4285709999999998"/>
    <n v="0"/>
    <n v="0"/>
    <s v="Fix"/>
    <s v="Apr-2017"/>
    <x v="6"/>
  </r>
  <r>
    <n v="2017"/>
    <n v="4"/>
    <s v="April"/>
    <x v="46"/>
    <n v="1434.9"/>
    <n v="2"/>
    <n v="717.45"/>
    <n v="5"/>
    <n v="0"/>
    <n v="0"/>
    <s v="Fix"/>
    <s v="Apr-2017"/>
    <x v="6"/>
  </r>
  <r>
    <n v="2017"/>
    <n v="4"/>
    <s v="April"/>
    <x v="48"/>
    <n v="1112.880011"/>
    <n v="9"/>
    <n v="123.65"/>
    <n v="4"/>
    <n v="0"/>
    <n v="0"/>
    <s v="Fix"/>
    <s v="Apr-2017"/>
    <x v="6"/>
  </r>
  <r>
    <n v="2017"/>
    <n v="4"/>
    <s v="April"/>
    <x v="42"/>
    <n v="1033.400005"/>
    <n v="8"/>
    <n v="129.18"/>
    <n v="4.125"/>
    <n v="0"/>
    <n v="0"/>
    <s v="Fix"/>
    <s v="Apr-2017"/>
    <x v="6"/>
  </r>
  <r>
    <n v="2017"/>
    <n v="4"/>
    <s v="April"/>
    <x v="24"/>
    <n v="942.20000460000006"/>
    <n v="9"/>
    <n v="104.69"/>
    <n v="3.4444439999999998"/>
    <n v="0"/>
    <n v="0"/>
    <s v="Fix"/>
    <s v="Apr-2017"/>
    <x v="6"/>
  </r>
  <r>
    <n v="2017"/>
    <n v="4"/>
    <s v="April"/>
    <x v="26"/>
    <n v="923.38000869999996"/>
    <n v="12"/>
    <n v="76.95"/>
    <n v="4.6666660000000002"/>
    <n v="0"/>
    <n v="0"/>
    <s v="Fix"/>
    <s v="Apr-2017"/>
    <x v="6"/>
  </r>
  <r>
    <n v="2017"/>
    <n v="4"/>
    <s v="April"/>
    <x v="43"/>
    <n v="858.96000670000001"/>
    <n v="4"/>
    <n v="214.74"/>
    <n v="1.75"/>
    <n v="0"/>
    <n v="0"/>
    <s v="Fix"/>
    <s v="Apr-2017"/>
    <x v="6"/>
  </r>
  <r>
    <n v="2017"/>
    <n v="4"/>
    <s v="April"/>
    <x v="33"/>
    <n v="799.79998780000005"/>
    <n v="2"/>
    <n v="399.9"/>
    <n v="2.5"/>
    <n v="0"/>
    <n v="0"/>
    <s v="Fix"/>
    <s v="Apr-2017"/>
    <x v="6"/>
  </r>
  <r>
    <n v="2017"/>
    <n v="4"/>
    <s v="April"/>
    <x v="61"/>
    <n v="729"/>
    <n v="1"/>
    <n v="729"/>
    <n v="5"/>
    <n v="0"/>
    <n v="0"/>
    <s v="Fix"/>
    <s v="Apr-2017"/>
    <x v="6"/>
  </r>
  <r>
    <n v="2017"/>
    <n v="4"/>
    <s v="April"/>
    <x v="49"/>
    <n v="499.4000092"/>
    <n v="9"/>
    <n v="55.49"/>
    <n v="4.3333329999999997"/>
    <n v="0"/>
    <n v="0"/>
    <s v="Fix"/>
    <s v="Apr-2017"/>
    <x v="6"/>
  </r>
  <r>
    <n v="2017"/>
    <n v="4"/>
    <s v="April"/>
    <x v="27"/>
    <n v="491.2999992"/>
    <n v="8"/>
    <n v="61.41"/>
    <n v="4.25"/>
    <n v="0"/>
    <n v="0"/>
    <s v="Fix"/>
    <s v="Apr-2017"/>
    <x v="6"/>
  </r>
  <r>
    <n v="2017"/>
    <n v="4"/>
    <s v="April"/>
    <x v="31"/>
    <n v="416.68999669999999"/>
    <n v="6"/>
    <n v="69.45"/>
    <n v="3.8333330000000001"/>
    <n v="0"/>
    <n v="0"/>
    <s v="Fix"/>
    <s v="Apr-2017"/>
    <x v="6"/>
  </r>
  <r>
    <n v="2017"/>
    <n v="4"/>
    <s v="April"/>
    <x v="62"/>
    <n v="259.98001099999999"/>
    <n v="2"/>
    <n v="129.99"/>
    <n v="2.5"/>
    <n v="0"/>
    <n v="0"/>
    <s v="Fix"/>
    <s v="Apr-2017"/>
    <x v="6"/>
  </r>
  <r>
    <n v="2017"/>
    <n v="4"/>
    <s v="April"/>
    <x v="56"/>
    <n v="199.92999649999999"/>
    <n v="2"/>
    <n v="99.96"/>
    <n v="1"/>
    <n v="0"/>
    <n v="0"/>
    <s v="Fix"/>
    <s v="Apr-2017"/>
    <x v="6"/>
  </r>
  <r>
    <n v="2017"/>
    <n v="4"/>
    <s v="April"/>
    <x v="60"/>
    <n v="189.78000069999999"/>
    <n v="4"/>
    <n v="47.45"/>
    <n v="3.5"/>
    <n v="0"/>
    <n v="0"/>
    <s v="Fix"/>
    <s v="Apr-2017"/>
    <x v="6"/>
  </r>
  <r>
    <n v="2017"/>
    <n v="4"/>
    <s v="April"/>
    <x v="59"/>
    <n v="128.0599995"/>
    <n v="3"/>
    <n v="42.69"/>
    <n v="4.6666660000000002"/>
    <n v="0"/>
    <n v="0"/>
    <s v="Fix"/>
    <s v="Apr-2017"/>
    <x v="6"/>
  </r>
  <r>
    <n v="2017"/>
    <n v="4"/>
    <s v="April"/>
    <x v="57"/>
    <n v="119.9000015"/>
    <n v="1"/>
    <n v="119.9"/>
    <n v="4"/>
    <n v="0"/>
    <n v="0"/>
    <s v="Fix"/>
    <s v="Apr-2017"/>
    <x v="6"/>
  </r>
  <r>
    <n v="2017"/>
    <n v="4"/>
    <s v="April"/>
    <x v="55"/>
    <n v="118"/>
    <n v="2"/>
    <n v="59"/>
    <n v="5"/>
    <n v="0"/>
    <n v="0"/>
    <s v="Fix"/>
    <s v="Apr-2017"/>
    <x v="6"/>
  </r>
  <r>
    <n v="2017"/>
    <n v="4"/>
    <s v="April"/>
    <x v="63"/>
    <n v="109.4000015"/>
    <n v="1"/>
    <n v="109.4"/>
    <n v="4"/>
    <n v="0"/>
    <n v="0"/>
    <s v="Fix"/>
    <s v="Apr-2017"/>
    <x v="6"/>
  </r>
  <r>
    <n v="2017"/>
    <n v="4"/>
    <s v="April"/>
    <x v="41"/>
    <n v="98.789999960000003"/>
    <n v="4"/>
    <n v="24.7"/>
    <n v="3.5"/>
    <n v="0"/>
    <n v="0"/>
    <s v="Fix"/>
    <s v="Apr-2017"/>
    <x v="6"/>
  </r>
  <r>
    <n v="2017"/>
    <n v="4"/>
    <s v="April"/>
    <x v="23"/>
    <n v="75"/>
    <n v="1"/>
    <n v="75"/>
    <n v="4"/>
    <n v="0"/>
    <n v="0"/>
    <s v="Fix"/>
    <s v="Apr-2017"/>
    <x v="6"/>
  </r>
  <r>
    <n v="2017"/>
    <n v="4"/>
    <s v="April"/>
    <x v="64"/>
    <n v="69"/>
    <n v="1"/>
    <n v="69"/>
    <n v="5"/>
    <n v="0"/>
    <n v="0"/>
    <s v="Fix"/>
    <s v="Apr-2017"/>
    <x v="6"/>
  </r>
  <r>
    <n v="2017"/>
    <n v="4"/>
    <s v="April"/>
    <x v="29"/>
    <n v="64.900001529999997"/>
    <n v="1"/>
    <n v="64.900000000000006"/>
    <n v="2"/>
    <n v="0"/>
    <n v="0"/>
    <s v="Fix"/>
    <s v="Apr-2017"/>
    <x v="6"/>
  </r>
  <r>
    <n v="2017"/>
    <n v="4"/>
    <s v="April"/>
    <x v="47"/>
    <n v="59.800001139999999"/>
    <n v="2"/>
    <n v="29.9"/>
    <n v="5"/>
    <n v="0"/>
    <n v="0"/>
    <s v="Fix"/>
    <s v="Apr-2017"/>
    <x v="6"/>
  </r>
  <r>
    <n v="2017"/>
    <n v="4"/>
    <s v="April"/>
    <x v="58"/>
    <n v="47.899999620000003"/>
    <n v="2"/>
    <n v="23.95"/>
    <n v="3.5"/>
    <n v="0"/>
    <n v="0"/>
    <s v="Fix"/>
    <s v="Apr-2017"/>
    <x v="6"/>
  </r>
  <r>
    <n v="2017"/>
    <n v="4"/>
    <s v="April"/>
    <x v="65"/>
    <n v="24"/>
    <n v="1"/>
    <n v="24"/>
    <n v="1"/>
    <n v="0"/>
    <n v="0"/>
    <s v="Fix"/>
    <s v="Apr-2017"/>
    <x v="6"/>
  </r>
  <r>
    <n v="2017"/>
    <n v="4"/>
    <s v="April"/>
    <x v="54"/>
    <n v="19.989999770000001"/>
    <n v="1"/>
    <n v="19.989999999999998"/>
    <n v="1"/>
    <n v="0"/>
    <n v="0"/>
    <s v="Fix"/>
    <s v="Apr-2017"/>
    <x v="6"/>
  </r>
  <r>
    <n v="2017"/>
    <n v="4"/>
    <s v="April"/>
    <x v="44"/>
    <n v="12.899999619999999"/>
    <n v="1"/>
    <n v="12.9"/>
    <n v="5"/>
    <n v="0"/>
    <n v="0"/>
    <s v="Fix"/>
    <s v="Apr-2017"/>
    <x v="6"/>
  </r>
  <r>
    <n v="2017"/>
    <n v="5"/>
    <s v="May"/>
    <x v="0"/>
    <n v="46786.019749999999"/>
    <n v="267"/>
    <n v="175.23"/>
    <n v="4.2196959999999999"/>
    <n v="0"/>
    <n v="0"/>
    <s v="Fix"/>
    <s v="May-2017"/>
    <x v="7"/>
  </r>
  <r>
    <n v="2017"/>
    <n v="5"/>
    <s v="May"/>
    <x v="11"/>
    <n v="45634.779869999998"/>
    <n v="260"/>
    <n v="175.52"/>
    <n v="4.2857139999999996"/>
    <n v="2"/>
    <n v="0.77"/>
    <s v="Fix"/>
    <s v="May-2017"/>
    <x v="7"/>
  </r>
  <r>
    <n v="2017"/>
    <n v="5"/>
    <s v="May"/>
    <x v="6"/>
    <n v="37973.899790000003"/>
    <n v="126"/>
    <n v="301.38"/>
    <n v="4.273809"/>
    <n v="1"/>
    <n v="0.79"/>
    <s v="Fix"/>
    <s v="May-2017"/>
    <x v="7"/>
  </r>
  <r>
    <n v="2017"/>
    <n v="5"/>
    <s v="May"/>
    <x v="7"/>
    <n v="36163.499920000002"/>
    <n v="266"/>
    <n v="135.94999999999999"/>
    <n v="4.1711020000000003"/>
    <n v="3"/>
    <n v="1.1299999999999999"/>
    <s v="Fix"/>
    <s v="May-2017"/>
    <x v="7"/>
  </r>
  <r>
    <n v="2017"/>
    <n v="5"/>
    <s v="May"/>
    <x v="17"/>
    <n v="33696.470150000001"/>
    <n v="236"/>
    <n v="142.78"/>
    <n v="4.1936169999999997"/>
    <n v="1"/>
    <n v="0.42"/>
    <s v="Fix"/>
    <s v="May-2017"/>
    <x v="7"/>
  </r>
  <r>
    <n v="2017"/>
    <n v="5"/>
    <s v="May"/>
    <x v="21"/>
    <n v="33346.450129999997"/>
    <n v="329"/>
    <n v="101.36"/>
    <n v="4.1102480000000003"/>
    <n v="1"/>
    <n v="0.3"/>
    <s v="Fix"/>
    <s v="May-2017"/>
    <x v="7"/>
  </r>
  <r>
    <n v="2017"/>
    <n v="5"/>
    <s v="May"/>
    <x v="1"/>
    <n v="24028.509979999999"/>
    <n v="234"/>
    <n v="102.69"/>
    <n v="3.9502160000000002"/>
    <n v="0"/>
    <n v="0"/>
    <s v="Fix"/>
    <s v="May-2017"/>
    <x v="7"/>
  </r>
  <r>
    <n v="2017"/>
    <n v="5"/>
    <s v="May"/>
    <x v="4"/>
    <n v="22626.949929999999"/>
    <n v="196"/>
    <n v="115.44"/>
    <n v="4.489795"/>
    <n v="2"/>
    <n v="1.02"/>
    <s v="Fix"/>
    <s v="May-2017"/>
    <x v="7"/>
  </r>
  <r>
    <n v="2017"/>
    <n v="5"/>
    <s v="May"/>
    <x v="16"/>
    <n v="21726.480070000001"/>
    <n v="264"/>
    <n v="82.3"/>
    <n v="4.1863109999999999"/>
    <n v="3"/>
    <n v="1.1399999999999999"/>
    <s v="Fix"/>
    <s v="May-2017"/>
    <x v="7"/>
  </r>
  <r>
    <n v="2017"/>
    <n v="5"/>
    <s v="May"/>
    <x v="12"/>
    <n v="20693.459989999999"/>
    <n v="124"/>
    <n v="166.88"/>
    <n v="4.1885240000000001"/>
    <n v="1"/>
    <n v="0.81"/>
    <s v="Fix"/>
    <s v="May-2017"/>
    <x v="7"/>
  </r>
  <r>
    <n v="2017"/>
    <n v="5"/>
    <s v="May"/>
    <x v="3"/>
    <n v="20119.039669999998"/>
    <n v="134"/>
    <n v="150.13999999999999"/>
    <n v="4.1742419999999996"/>
    <n v="0"/>
    <n v="0"/>
    <s v="Fix"/>
    <s v="May-2017"/>
    <x v="7"/>
  </r>
  <r>
    <n v="2017"/>
    <n v="5"/>
    <s v="May"/>
    <x v="8"/>
    <n v="18640.03009"/>
    <n v="106"/>
    <n v="175.85"/>
    <n v="4.0476190000000001"/>
    <n v="3"/>
    <n v="2.83"/>
    <s v="Fix"/>
    <s v="May-2017"/>
    <x v="7"/>
  </r>
  <r>
    <n v="2017"/>
    <n v="5"/>
    <s v="May"/>
    <x v="37"/>
    <n v="12539.62003"/>
    <n v="64"/>
    <n v="195.93"/>
    <n v="4.375"/>
    <n v="0"/>
    <n v="0"/>
    <s v="Fix"/>
    <s v="May-2017"/>
    <x v="7"/>
  </r>
  <r>
    <n v="2017"/>
    <n v="5"/>
    <s v="May"/>
    <x v="28"/>
    <n v="10961.94003"/>
    <n v="86"/>
    <n v="127.46"/>
    <s v="NULL"/>
    <s v="NULL"/>
    <s v="NULL"/>
    <s v="Fix"/>
    <s v="May-2017"/>
    <x v="7"/>
  </r>
  <r>
    <n v="2017"/>
    <n v="5"/>
    <s v="May"/>
    <x v="38"/>
    <n v="10019.429899999999"/>
    <n v="19"/>
    <n v="527.34"/>
    <n v="4.2105259999999998"/>
    <n v="0"/>
    <n v="0"/>
    <s v="Fix"/>
    <s v="May-2017"/>
    <x v="7"/>
  </r>
  <r>
    <n v="2017"/>
    <n v="5"/>
    <s v="May"/>
    <x v="10"/>
    <n v="9849.5100540000003"/>
    <n v="102"/>
    <n v="96.56"/>
    <n v="4.24"/>
    <n v="0"/>
    <n v="0"/>
    <s v="Fix"/>
    <s v="May-2017"/>
    <x v="7"/>
  </r>
  <r>
    <n v="2017"/>
    <n v="5"/>
    <s v="May"/>
    <x v="2"/>
    <n v="9264.0999800000009"/>
    <n v="204"/>
    <n v="45.41"/>
    <n v="3.896039"/>
    <n v="2"/>
    <n v="0.98"/>
    <s v="Fix"/>
    <s v="May-2017"/>
    <x v="7"/>
  </r>
  <r>
    <n v="2017"/>
    <n v="5"/>
    <s v="May"/>
    <x v="15"/>
    <n v="8403.4300160000003"/>
    <n v="42"/>
    <n v="200.08"/>
    <n v="3.8333330000000001"/>
    <n v="0"/>
    <n v="0"/>
    <s v="Fix"/>
    <s v="May-2017"/>
    <x v="7"/>
  </r>
  <r>
    <n v="2017"/>
    <n v="5"/>
    <s v="May"/>
    <x v="19"/>
    <n v="8151.019929"/>
    <n v="66"/>
    <n v="123.5"/>
    <n v="4.4393929999999999"/>
    <n v="0"/>
    <n v="0"/>
    <s v="Fix"/>
    <s v="May-2017"/>
    <x v="7"/>
  </r>
  <r>
    <n v="2017"/>
    <n v="5"/>
    <s v="May"/>
    <x v="20"/>
    <n v="7498.6700330000003"/>
    <n v="97"/>
    <n v="77.31"/>
    <n v="4.1052629999999999"/>
    <n v="0"/>
    <n v="0"/>
    <s v="Fix"/>
    <s v="May-2017"/>
    <x v="7"/>
  </r>
  <r>
    <n v="2017"/>
    <n v="5"/>
    <s v="May"/>
    <x v="57"/>
    <n v="6967.650009"/>
    <n v="8"/>
    <n v="870.96"/>
    <n v="4.5"/>
    <n v="0"/>
    <n v="0"/>
    <s v="Fix"/>
    <s v="May-2017"/>
    <x v="7"/>
  </r>
  <r>
    <n v="2017"/>
    <n v="5"/>
    <s v="May"/>
    <x v="13"/>
    <n v="6709.1099620000005"/>
    <n v="62"/>
    <n v="108.21"/>
    <n v="3.8852449999999998"/>
    <n v="0"/>
    <n v="0"/>
    <s v="Fix"/>
    <s v="May-2017"/>
    <x v="7"/>
  </r>
  <r>
    <n v="2017"/>
    <n v="5"/>
    <s v="May"/>
    <x v="35"/>
    <n v="6049.9800109999996"/>
    <n v="62"/>
    <n v="97.58"/>
    <n v="4.2786879999999998"/>
    <n v="0"/>
    <n v="0"/>
    <s v="Fix"/>
    <s v="May-2017"/>
    <x v="7"/>
  </r>
  <r>
    <n v="2017"/>
    <n v="5"/>
    <s v="May"/>
    <x v="52"/>
    <n v="5293.8700429999999"/>
    <n v="34"/>
    <n v="155.69999999999999"/>
    <n v="3.4117639999999998"/>
    <n v="0"/>
    <n v="0"/>
    <s v="Fix"/>
    <s v="May-2017"/>
    <x v="7"/>
  </r>
  <r>
    <n v="2017"/>
    <n v="5"/>
    <s v="May"/>
    <x v="34"/>
    <n v="5241.4400180000002"/>
    <n v="16"/>
    <n v="327.58999999999997"/>
    <n v="4.625"/>
    <n v="0"/>
    <n v="0"/>
    <s v="Fix"/>
    <s v="May-2017"/>
    <x v="7"/>
  </r>
  <r>
    <n v="2017"/>
    <n v="5"/>
    <s v="May"/>
    <x v="36"/>
    <n v="4929.4299890000002"/>
    <n v="29"/>
    <n v="169.98"/>
    <n v="3.5"/>
    <n v="0"/>
    <n v="0"/>
    <s v="Fix"/>
    <s v="May-2017"/>
    <x v="7"/>
  </r>
  <r>
    <n v="2017"/>
    <n v="5"/>
    <s v="May"/>
    <x v="33"/>
    <n v="3093.0399929999999"/>
    <n v="9"/>
    <n v="343.67"/>
    <n v="4.4444439999999998"/>
    <n v="0"/>
    <n v="0"/>
    <s v="Fix"/>
    <s v="May-2017"/>
    <x v="7"/>
  </r>
  <r>
    <n v="2017"/>
    <n v="5"/>
    <s v="May"/>
    <x v="5"/>
    <n v="2507.2000200000002"/>
    <n v="26"/>
    <n v="96.43"/>
    <n v="4.1538459999999997"/>
    <n v="0"/>
    <n v="0"/>
    <s v="Fix"/>
    <s v="May-2017"/>
    <x v="7"/>
  </r>
  <r>
    <n v="2017"/>
    <n v="5"/>
    <s v="May"/>
    <x v="14"/>
    <n v="2476.9799899999998"/>
    <n v="21"/>
    <n v="117.95"/>
    <n v="4.4761899999999999"/>
    <n v="0"/>
    <n v="0"/>
    <s v="Fix"/>
    <s v="May-2017"/>
    <x v="7"/>
  </r>
  <r>
    <n v="2017"/>
    <n v="5"/>
    <s v="May"/>
    <x v="43"/>
    <n v="2369.969994"/>
    <n v="6"/>
    <n v="394.99"/>
    <n v="4.3333329999999997"/>
    <n v="0"/>
    <n v="0"/>
    <s v="Fix"/>
    <s v="May-2017"/>
    <x v="7"/>
  </r>
  <r>
    <n v="2017"/>
    <n v="5"/>
    <s v="May"/>
    <x v="24"/>
    <n v="2081.1799930000002"/>
    <n v="17"/>
    <n v="122.42"/>
    <n v="4.1764700000000001"/>
    <n v="0"/>
    <n v="0"/>
    <s v="Fix"/>
    <s v="May-2017"/>
    <x v="7"/>
  </r>
  <r>
    <n v="2017"/>
    <n v="5"/>
    <s v="May"/>
    <x v="49"/>
    <n v="1912.7900119999999"/>
    <n v="28"/>
    <n v="68.31"/>
    <n v="4.7142850000000003"/>
    <n v="0"/>
    <n v="0"/>
    <s v="Fix"/>
    <s v="May-2017"/>
    <x v="7"/>
  </r>
  <r>
    <n v="2017"/>
    <n v="5"/>
    <s v="May"/>
    <x v="26"/>
    <n v="1841.5699770000001"/>
    <n v="19"/>
    <n v="96.92"/>
    <n v="4.5263150000000003"/>
    <n v="0"/>
    <n v="0"/>
    <s v="Fix"/>
    <s v="May-2017"/>
    <x v="7"/>
  </r>
  <r>
    <n v="2017"/>
    <n v="5"/>
    <s v="May"/>
    <x v="30"/>
    <n v="1669.5400030000001"/>
    <n v="22"/>
    <n v="75.89"/>
    <n v="4.2727269999999997"/>
    <n v="0"/>
    <n v="0"/>
    <s v="Fix"/>
    <s v="May-2017"/>
    <x v="7"/>
  </r>
  <r>
    <n v="2017"/>
    <n v="5"/>
    <s v="May"/>
    <x v="50"/>
    <n v="1620.4999749999999"/>
    <n v="5"/>
    <n v="324.10000000000002"/>
    <n v="3.2"/>
    <n v="0"/>
    <n v="0"/>
    <s v="Fix"/>
    <s v="May-2017"/>
    <x v="7"/>
  </r>
  <r>
    <n v="2017"/>
    <n v="5"/>
    <s v="May"/>
    <x v="45"/>
    <n v="1579.9399639999999"/>
    <n v="4"/>
    <n v="394.98"/>
    <n v="4.75"/>
    <n v="0"/>
    <n v="0"/>
    <s v="Fix"/>
    <s v="May-2017"/>
    <x v="7"/>
  </r>
  <r>
    <n v="2017"/>
    <n v="5"/>
    <s v="May"/>
    <x v="51"/>
    <n v="1577.240049"/>
    <n v="6"/>
    <n v="262.87"/>
    <n v="3.3333330000000001"/>
    <n v="1"/>
    <n v="16.670000000000002"/>
    <s v="Fix"/>
    <s v="May-2017"/>
    <x v="7"/>
  </r>
  <r>
    <n v="2017"/>
    <n v="5"/>
    <s v="May"/>
    <x v="48"/>
    <n v="1514.979996"/>
    <n v="7"/>
    <n v="216.43"/>
    <n v="4.8"/>
    <n v="0"/>
    <n v="0"/>
    <s v="Fix"/>
    <s v="May-2017"/>
    <x v="7"/>
  </r>
  <r>
    <n v="2017"/>
    <n v="5"/>
    <s v="May"/>
    <x v="42"/>
    <n v="1304.4800110000001"/>
    <n v="9"/>
    <n v="144.94"/>
    <n v="4.1111110000000002"/>
    <n v="0"/>
    <n v="0"/>
    <s v="Fix"/>
    <s v="May-2017"/>
    <x v="7"/>
  </r>
  <r>
    <n v="2017"/>
    <n v="5"/>
    <s v="May"/>
    <x v="9"/>
    <n v="1016.769999"/>
    <n v="7"/>
    <n v="145.25"/>
    <n v="4.2857139999999996"/>
    <n v="0"/>
    <n v="0"/>
    <s v="Fix"/>
    <s v="May-2017"/>
    <x v="7"/>
  </r>
  <r>
    <n v="2017"/>
    <n v="5"/>
    <s v="May"/>
    <x v="61"/>
    <n v="803.90000150000003"/>
    <n v="2"/>
    <n v="401.95"/>
    <n v="5"/>
    <n v="0"/>
    <n v="0"/>
    <s v="Fix"/>
    <s v="May-2017"/>
    <x v="7"/>
  </r>
  <r>
    <n v="2017"/>
    <n v="5"/>
    <s v="May"/>
    <x v="31"/>
    <n v="608.89999390000003"/>
    <n v="3"/>
    <n v="202.97"/>
    <n v="3"/>
    <n v="0"/>
    <n v="0"/>
    <s v="Fix"/>
    <s v="May-2017"/>
    <x v="7"/>
  </r>
  <r>
    <n v="2017"/>
    <n v="5"/>
    <s v="May"/>
    <x v="63"/>
    <n v="595.88999179999996"/>
    <n v="3"/>
    <n v="198.63"/>
    <n v="3.6666660000000002"/>
    <n v="0"/>
    <n v="0"/>
    <s v="Fix"/>
    <s v="May-2017"/>
    <x v="7"/>
  </r>
  <r>
    <n v="2017"/>
    <n v="5"/>
    <s v="May"/>
    <x v="22"/>
    <n v="519.79998780000005"/>
    <n v="2"/>
    <n v="259.89999999999998"/>
    <n v="3"/>
    <n v="0"/>
    <n v="0"/>
    <s v="Fix"/>
    <s v="May-2017"/>
    <x v="7"/>
  </r>
  <r>
    <n v="2017"/>
    <n v="5"/>
    <s v="May"/>
    <x v="59"/>
    <n v="508.85000129999997"/>
    <n v="3"/>
    <n v="169.62"/>
    <n v="4.6666660000000002"/>
    <n v="0"/>
    <n v="0"/>
    <s v="Fix"/>
    <s v="May-2017"/>
    <x v="7"/>
  </r>
  <r>
    <n v="2017"/>
    <n v="5"/>
    <s v="May"/>
    <x v="18"/>
    <n v="462.33001330000002"/>
    <n v="10"/>
    <n v="46.23"/>
    <n v="3.1"/>
    <n v="0"/>
    <n v="0"/>
    <s v="Fix"/>
    <s v="May-2017"/>
    <x v="7"/>
  </r>
  <r>
    <n v="2017"/>
    <n v="5"/>
    <s v="May"/>
    <x v="29"/>
    <n v="422.3999996"/>
    <n v="5"/>
    <n v="84.48"/>
    <n v="3.4"/>
    <n v="0"/>
    <n v="0"/>
    <s v="Fix"/>
    <s v="May-2017"/>
    <x v="7"/>
  </r>
  <r>
    <n v="2017"/>
    <n v="5"/>
    <s v="May"/>
    <x v="58"/>
    <n v="416.28999709999999"/>
    <n v="12"/>
    <n v="34.69"/>
    <n v="4.3333329999999997"/>
    <n v="0"/>
    <n v="0"/>
    <s v="Fix"/>
    <s v="May-2017"/>
    <x v="7"/>
  </r>
  <r>
    <n v="2017"/>
    <n v="5"/>
    <s v="May"/>
    <x v="27"/>
    <n v="387.89999390000003"/>
    <n v="3"/>
    <n v="129.30000000000001"/>
    <n v="3.3333330000000001"/>
    <n v="0"/>
    <n v="0"/>
    <s v="Fix"/>
    <s v="May-2017"/>
    <x v="7"/>
  </r>
  <r>
    <n v="2017"/>
    <n v="5"/>
    <s v="May"/>
    <x v="41"/>
    <n v="283.5000005"/>
    <n v="6"/>
    <n v="47.25"/>
    <n v="4.3333329999999997"/>
    <n v="0"/>
    <n v="0"/>
    <s v="Fix"/>
    <s v="May-2017"/>
    <x v="7"/>
  </r>
  <r>
    <n v="2017"/>
    <n v="5"/>
    <s v="May"/>
    <x v="23"/>
    <n v="262.00000569999997"/>
    <n v="3"/>
    <n v="87.33"/>
    <n v="4.6666660000000002"/>
    <n v="0"/>
    <n v="0"/>
    <s v="Fix"/>
    <s v="May-2017"/>
    <x v="7"/>
  </r>
  <r>
    <n v="2017"/>
    <n v="5"/>
    <s v="May"/>
    <x v="65"/>
    <n v="193"/>
    <n v="1"/>
    <n v="193"/>
    <n v="5"/>
    <n v="0"/>
    <n v="0"/>
    <s v="Fix"/>
    <s v="May-2017"/>
    <x v="7"/>
  </r>
  <r>
    <n v="2017"/>
    <n v="5"/>
    <s v="May"/>
    <x v="62"/>
    <n v="129.9900055"/>
    <n v="1"/>
    <n v="129.99"/>
    <n v="5"/>
    <n v="0"/>
    <n v="0"/>
    <s v="Fix"/>
    <s v="May-2017"/>
    <x v="7"/>
  </r>
  <r>
    <n v="2017"/>
    <n v="5"/>
    <s v="May"/>
    <x v="60"/>
    <n v="124.84000210000001"/>
    <n v="3"/>
    <n v="41.61"/>
    <n v="5"/>
    <n v="0"/>
    <n v="0"/>
    <s v="Fix"/>
    <s v="May-2017"/>
    <x v="7"/>
  </r>
  <r>
    <n v="2017"/>
    <n v="5"/>
    <s v="May"/>
    <x v="66"/>
    <n v="110"/>
    <n v="1"/>
    <n v="110"/>
    <n v="5"/>
    <n v="0"/>
    <n v="0"/>
    <s v="Fix"/>
    <s v="May-2017"/>
    <x v="7"/>
  </r>
  <r>
    <n v="2017"/>
    <n v="5"/>
    <s v="May"/>
    <x v="39"/>
    <n v="99.989997860000003"/>
    <n v="1"/>
    <n v="99.99"/>
    <n v="5"/>
    <n v="0"/>
    <n v="0"/>
    <s v="Fix"/>
    <s v="May-2017"/>
    <x v="7"/>
  </r>
  <r>
    <n v="2017"/>
    <n v="5"/>
    <s v="May"/>
    <x v="56"/>
    <n v="90"/>
    <n v="1"/>
    <n v="90"/>
    <n v="5"/>
    <n v="0"/>
    <n v="0"/>
    <s v="Fix"/>
    <s v="May-2017"/>
    <x v="7"/>
  </r>
  <r>
    <n v="2017"/>
    <n v="5"/>
    <s v="May"/>
    <x v="46"/>
    <n v="89.599998470000003"/>
    <n v="4"/>
    <n v="22.4"/>
    <n v="4.75"/>
    <n v="0"/>
    <n v="0"/>
    <s v="Fix"/>
    <s v="May-2017"/>
    <x v="7"/>
  </r>
  <r>
    <n v="2017"/>
    <n v="5"/>
    <s v="May"/>
    <x v="55"/>
    <n v="59"/>
    <n v="1"/>
    <n v="59"/>
    <n v="5"/>
    <n v="0"/>
    <n v="0"/>
    <s v="Fix"/>
    <s v="May-2017"/>
    <x v="7"/>
  </r>
  <r>
    <n v="2017"/>
    <n v="5"/>
    <s v="May"/>
    <x v="67"/>
    <n v="21.989999770000001"/>
    <n v="1"/>
    <n v="21.99"/>
    <n v="5"/>
    <n v="0"/>
    <n v="0"/>
    <s v="Fix"/>
    <s v="May-2017"/>
    <x v="7"/>
  </r>
  <r>
    <n v="2017"/>
    <n v="6"/>
    <s v="June"/>
    <x v="17"/>
    <n v="38244.500099999997"/>
    <n v="197"/>
    <n v="194.13"/>
    <n v="4.4000000000000004"/>
    <n v="0"/>
    <n v="0"/>
    <s v="Fix"/>
    <s v="Jun-2017"/>
    <x v="8"/>
  </r>
  <r>
    <n v="2017"/>
    <n v="6"/>
    <s v="June"/>
    <x v="11"/>
    <n v="37007.079870000001"/>
    <n v="219"/>
    <n v="168.98"/>
    <n v="4.0045869999999999"/>
    <n v="0"/>
    <n v="0"/>
    <s v="Fix"/>
    <s v="Jun-2017"/>
    <x v="8"/>
  </r>
  <r>
    <n v="2017"/>
    <n v="6"/>
    <s v="June"/>
    <x v="21"/>
    <n v="35114.810169999997"/>
    <n v="335"/>
    <n v="104.82"/>
    <n v="4.0333329999999998"/>
    <n v="0"/>
    <n v="0"/>
    <s v="Fix"/>
    <s v="Jun-2017"/>
    <x v="8"/>
  </r>
  <r>
    <n v="2017"/>
    <n v="6"/>
    <s v="June"/>
    <x v="7"/>
    <n v="32898.329899999997"/>
    <n v="250"/>
    <n v="131.59"/>
    <n v="4.4160000000000004"/>
    <n v="1"/>
    <n v="0.4"/>
    <s v="Fix"/>
    <s v="Jun-2017"/>
    <x v="8"/>
  </r>
  <r>
    <n v="2017"/>
    <n v="6"/>
    <s v="June"/>
    <x v="0"/>
    <n v="32029.389930000001"/>
    <n v="239"/>
    <n v="134.01"/>
    <n v="4.2405059999999999"/>
    <n v="1"/>
    <n v="0.42"/>
    <s v="Fix"/>
    <s v="Jun-2017"/>
    <x v="8"/>
  </r>
  <r>
    <n v="2017"/>
    <n v="6"/>
    <s v="June"/>
    <x v="8"/>
    <n v="31370.689989999999"/>
    <n v="103"/>
    <n v="304.57"/>
    <n v="3.9207920000000001"/>
    <n v="1"/>
    <n v="0.97"/>
    <s v="Fix"/>
    <s v="Jun-2017"/>
    <x v="8"/>
  </r>
  <r>
    <n v="2017"/>
    <n v="6"/>
    <s v="June"/>
    <x v="6"/>
    <n v="28948.629919999999"/>
    <n v="118"/>
    <n v="245.33"/>
    <n v="4.1206889999999996"/>
    <n v="2"/>
    <n v="1.69"/>
    <s v="Fix"/>
    <s v="Jun-2017"/>
    <x v="8"/>
  </r>
  <r>
    <n v="2017"/>
    <n v="6"/>
    <s v="June"/>
    <x v="3"/>
    <n v="24438.09978"/>
    <n v="146"/>
    <n v="167.38"/>
    <n v="4.1575340000000001"/>
    <n v="0"/>
    <n v="0"/>
    <s v="Fix"/>
    <s v="Jun-2017"/>
    <x v="8"/>
  </r>
  <r>
    <n v="2017"/>
    <n v="6"/>
    <s v="June"/>
    <x v="16"/>
    <n v="23623.71027"/>
    <n v="289"/>
    <n v="81.739999999999995"/>
    <n v="4.2020900000000001"/>
    <n v="2"/>
    <n v="0.69"/>
    <s v="Fix"/>
    <s v="Jun-2017"/>
    <x v="8"/>
  </r>
  <r>
    <n v="2017"/>
    <n v="6"/>
    <s v="June"/>
    <x v="1"/>
    <n v="16943.580030000001"/>
    <n v="180"/>
    <n v="94.13"/>
    <n v="4.258426"/>
    <n v="1"/>
    <n v="0.56000000000000005"/>
    <s v="Fix"/>
    <s v="Jun-2017"/>
    <x v="8"/>
  </r>
  <r>
    <n v="2017"/>
    <n v="6"/>
    <s v="June"/>
    <x v="12"/>
    <n v="15851.16999"/>
    <n v="102"/>
    <n v="155.4"/>
    <n v="4.2450979999999996"/>
    <n v="0"/>
    <n v="0"/>
    <s v="Fix"/>
    <s v="Jun-2017"/>
    <x v="8"/>
  </r>
  <r>
    <n v="2017"/>
    <n v="6"/>
    <s v="June"/>
    <x v="4"/>
    <n v="15476.350049999999"/>
    <n v="152"/>
    <n v="101.82"/>
    <n v="4.2947009999999999"/>
    <n v="1"/>
    <n v="0.66"/>
    <s v="Fix"/>
    <s v="Jun-2017"/>
    <x v="8"/>
  </r>
  <r>
    <n v="2017"/>
    <n v="6"/>
    <s v="June"/>
    <x v="34"/>
    <n v="9698.8100009999998"/>
    <n v="23"/>
    <n v="421.69"/>
    <n v="3.7826080000000002"/>
    <n v="0"/>
    <n v="0"/>
    <s v="Fix"/>
    <s v="Jun-2017"/>
    <x v="8"/>
  </r>
  <r>
    <n v="2017"/>
    <n v="6"/>
    <s v="June"/>
    <x v="37"/>
    <n v="8232.0899509999999"/>
    <n v="60"/>
    <n v="137.19999999999999"/>
    <n v="4.4333330000000002"/>
    <n v="0"/>
    <n v="0"/>
    <s v="Fix"/>
    <s v="Jun-2017"/>
    <x v="8"/>
  </r>
  <r>
    <n v="2017"/>
    <n v="6"/>
    <s v="June"/>
    <x v="10"/>
    <n v="7864.7400379999999"/>
    <n v="72"/>
    <n v="109.23"/>
    <n v="3.7746469999999999"/>
    <n v="0"/>
    <n v="0"/>
    <s v="Fix"/>
    <s v="Jun-2017"/>
    <x v="8"/>
  </r>
  <r>
    <n v="2017"/>
    <n v="6"/>
    <s v="June"/>
    <x v="15"/>
    <n v="7279.1300279999996"/>
    <n v="45"/>
    <n v="161.76"/>
    <n v="3.8888880000000001"/>
    <n v="0"/>
    <n v="0"/>
    <s v="Fix"/>
    <s v="Jun-2017"/>
    <x v="8"/>
  </r>
  <r>
    <n v="2017"/>
    <n v="6"/>
    <s v="June"/>
    <x v="20"/>
    <n v="6831.0300159999997"/>
    <n v="77"/>
    <n v="88.71"/>
    <n v="4.1052629999999999"/>
    <n v="0"/>
    <n v="0"/>
    <s v="Fix"/>
    <s v="Jun-2017"/>
    <x v="8"/>
  </r>
  <r>
    <n v="2017"/>
    <n v="6"/>
    <s v="June"/>
    <x v="2"/>
    <n v="6757.6199770000003"/>
    <n v="151"/>
    <n v="44.75"/>
    <n v="4.119205"/>
    <n v="0"/>
    <n v="0"/>
    <s v="Fix"/>
    <s v="Jun-2017"/>
    <x v="8"/>
  </r>
  <r>
    <n v="2017"/>
    <n v="6"/>
    <s v="June"/>
    <x v="28"/>
    <n v="5527.7900259999997"/>
    <n v="55"/>
    <n v="100.51"/>
    <s v="NULL"/>
    <s v="NULL"/>
    <s v="NULL"/>
    <s v="Fix"/>
    <s v="Jun-2017"/>
    <x v="8"/>
  </r>
  <r>
    <n v="2017"/>
    <n v="6"/>
    <s v="June"/>
    <x v="5"/>
    <n v="5389.02009"/>
    <n v="27"/>
    <n v="199.59"/>
    <n v="4.2692300000000003"/>
    <n v="0"/>
    <n v="0"/>
    <s v="Fix"/>
    <s v="Jun-2017"/>
    <x v="8"/>
  </r>
  <r>
    <n v="2017"/>
    <n v="6"/>
    <s v="June"/>
    <x v="19"/>
    <n v="5243.5699860000004"/>
    <n v="61"/>
    <n v="85.96"/>
    <n v="4.4000000000000004"/>
    <n v="0"/>
    <n v="0"/>
    <s v="Fix"/>
    <s v="Jun-2017"/>
    <x v="8"/>
  </r>
  <r>
    <n v="2017"/>
    <n v="6"/>
    <s v="June"/>
    <x v="38"/>
    <n v="4993.0499710000004"/>
    <n v="17"/>
    <n v="293.70999999999998"/>
    <n v="3.7647050000000002"/>
    <n v="0"/>
    <n v="0"/>
    <s v="Fix"/>
    <s v="Jun-2017"/>
    <x v="8"/>
  </r>
  <r>
    <n v="2017"/>
    <n v="6"/>
    <s v="June"/>
    <x v="35"/>
    <n v="3493.5700040000002"/>
    <n v="37"/>
    <n v="94.42"/>
    <n v="4.3513510000000002"/>
    <n v="0"/>
    <n v="0"/>
    <s v="Fix"/>
    <s v="Jun-2017"/>
    <x v="8"/>
  </r>
  <r>
    <n v="2017"/>
    <n v="6"/>
    <s v="June"/>
    <x v="52"/>
    <n v="3056.1900099999998"/>
    <n v="18"/>
    <n v="169.79"/>
    <n v="3.7647050000000002"/>
    <n v="0"/>
    <n v="0"/>
    <s v="Fix"/>
    <s v="Jun-2017"/>
    <x v="8"/>
  </r>
  <r>
    <n v="2017"/>
    <n v="6"/>
    <s v="June"/>
    <x v="49"/>
    <n v="2507.1900289999999"/>
    <n v="42"/>
    <n v="59.7"/>
    <n v="3.8690470000000001"/>
    <n v="0"/>
    <n v="0"/>
    <s v="Fix"/>
    <s v="Jun-2017"/>
    <x v="8"/>
  </r>
  <r>
    <n v="2017"/>
    <n v="6"/>
    <s v="June"/>
    <x v="13"/>
    <n v="2100.039988"/>
    <n v="40"/>
    <n v="52.5"/>
    <n v="4.2307689999999996"/>
    <n v="1"/>
    <n v="2.5"/>
    <s v="Fix"/>
    <s v="Jun-2017"/>
    <x v="8"/>
  </r>
  <r>
    <n v="2017"/>
    <n v="6"/>
    <s v="June"/>
    <x v="9"/>
    <n v="2084.4800190000001"/>
    <n v="9"/>
    <n v="231.61"/>
    <n v="3.8888880000000001"/>
    <n v="0"/>
    <n v="0"/>
    <s v="Fix"/>
    <s v="Jun-2017"/>
    <x v="8"/>
  </r>
  <r>
    <n v="2017"/>
    <n v="6"/>
    <s v="June"/>
    <x v="50"/>
    <n v="1992.299984"/>
    <n v="4"/>
    <n v="498.07"/>
    <n v="4"/>
    <n v="0"/>
    <n v="0"/>
    <s v="Fix"/>
    <s v="Jun-2017"/>
    <x v="8"/>
  </r>
  <r>
    <n v="2017"/>
    <n v="6"/>
    <s v="June"/>
    <x v="26"/>
    <n v="1940.0799770000001"/>
    <n v="20"/>
    <n v="97"/>
    <n v="4.55"/>
    <n v="0"/>
    <n v="0"/>
    <s v="Fix"/>
    <s v="Jun-2017"/>
    <x v="8"/>
  </r>
  <r>
    <n v="2017"/>
    <n v="6"/>
    <s v="June"/>
    <x v="36"/>
    <n v="1713.3000030000001"/>
    <n v="12"/>
    <n v="142.78"/>
    <n v="4.5833329999999997"/>
    <n v="0"/>
    <n v="0"/>
    <s v="Fix"/>
    <s v="Jun-2017"/>
    <x v="8"/>
  </r>
  <r>
    <n v="2017"/>
    <n v="6"/>
    <s v="June"/>
    <x v="24"/>
    <n v="1671"/>
    <n v="11"/>
    <n v="151.91"/>
    <n v="3.90909"/>
    <n v="0"/>
    <n v="0"/>
    <s v="Fix"/>
    <s v="Jun-2017"/>
    <x v="8"/>
  </r>
  <r>
    <n v="2017"/>
    <n v="6"/>
    <s v="June"/>
    <x v="45"/>
    <n v="1390"/>
    <n v="1"/>
    <n v="1390"/>
    <n v="1"/>
    <n v="0"/>
    <n v="0"/>
    <s v="Fix"/>
    <s v="Jun-2017"/>
    <x v="8"/>
  </r>
  <r>
    <n v="2017"/>
    <n v="6"/>
    <s v="June"/>
    <x v="30"/>
    <n v="1351.1999929999999"/>
    <n v="17"/>
    <n v="79.48"/>
    <n v="3.5588229999999998"/>
    <n v="0"/>
    <n v="0"/>
    <s v="Fix"/>
    <s v="Jun-2017"/>
    <x v="8"/>
  </r>
  <r>
    <n v="2017"/>
    <n v="6"/>
    <s v="June"/>
    <x v="14"/>
    <n v="1258.95001"/>
    <n v="15"/>
    <n v="83.93"/>
    <n v="3.9333330000000002"/>
    <n v="0"/>
    <n v="0"/>
    <s v="Fix"/>
    <s v="Jun-2017"/>
    <x v="8"/>
  </r>
  <r>
    <n v="2017"/>
    <n v="6"/>
    <s v="June"/>
    <x v="33"/>
    <n v="1213.8699799999999"/>
    <n v="6"/>
    <n v="202.31"/>
    <n v="3.5"/>
    <n v="0"/>
    <n v="0"/>
    <s v="Fix"/>
    <s v="Jun-2017"/>
    <x v="8"/>
  </r>
  <r>
    <n v="2017"/>
    <n v="6"/>
    <s v="June"/>
    <x v="47"/>
    <n v="1066.9000020000001"/>
    <n v="4"/>
    <n v="266.73"/>
    <n v="3.25"/>
    <n v="0"/>
    <n v="0"/>
    <s v="Fix"/>
    <s v="Jun-2017"/>
    <x v="8"/>
  </r>
  <r>
    <n v="2017"/>
    <n v="6"/>
    <s v="June"/>
    <x v="18"/>
    <n v="933.67001909999999"/>
    <n v="12"/>
    <n v="77.81"/>
    <n v="4.3333329999999997"/>
    <n v="0"/>
    <n v="0"/>
    <s v="Fix"/>
    <s v="Jun-2017"/>
    <x v="8"/>
  </r>
  <r>
    <n v="2017"/>
    <n v="6"/>
    <s v="June"/>
    <x v="48"/>
    <n v="594"/>
    <n v="6"/>
    <n v="99"/>
    <n v="5"/>
    <n v="0"/>
    <n v="0"/>
    <s v="Fix"/>
    <s v="Jun-2017"/>
    <x v="8"/>
  </r>
  <r>
    <n v="2017"/>
    <n v="6"/>
    <s v="June"/>
    <x v="31"/>
    <n v="569.69001200000002"/>
    <n v="8"/>
    <n v="71.209999999999994"/>
    <n v="3.375"/>
    <n v="0"/>
    <n v="0"/>
    <s v="Fix"/>
    <s v="Jun-2017"/>
    <x v="8"/>
  </r>
  <r>
    <n v="2017"/>
    <n v="6"/>
    <s v="June"/>
    <x v="60"/>
    <n v="495.48999980000002"/>
    <n v="6"/>
    <n v="82.58"/>
    <n v="4.3333329999999997"/>
    <n v="0"/>
    <n v="0"/>
    <s v="Fix"/>
    <s v="Jun-2017"/>
    <x v="8"/>
  </r>
  <r>
    <n v="2017"/>
    <n v="6"/>
    <s v="June"/>
    <x v="51"/>
    <n v="434.68999860000002"/>
    <n v="3"/>
    <n v="144.9"/>
    <n v="4.6666660000000002"/>
    <n v="0"/>
    <n v="0"/>
    <s v="Fix"/>
    <s v="Jun-2017"/>
    <x v="8"/>
  </r>
  <r>
    <n v="2017"/>
    <n v="6"/>
    <s v="June"/>
    <x v="57"/>
    <n v="421.7000122"/>
    <n v="5"/>
    <n v="84.34"/>
    <n v="3.4"/>
    <n v="0"/>
    <n v="0"/>
    <s v="Fix"/>
    <s v="Jun-2017"/>
    <x v="8"/>
  </r>
  <r>
    <n v="2017"/>
    <n v="6"/>
    <s v="June"/>
    <x v="39"/>
    <n v="376.36999509999998"/>
    <n v="4"/>
    <n v="94.09"/>
    <n v="3.5"/>
    <n v="0"/>
    <n v="0"/>
    <s v="Fix"/>
    <s v="Jun-2017"/>
    <x v="8"/>
  </r>
  <r>
    <n v="2017"/>
    <n v="6"/>
    <s v="June"/>
    <x v="42"/>
    <n v="374.80000310000003"/>
    <n v="4"/>
    <n v="93.7"/>
    <n v="4.75"/>
    <n v="0"/>
    <n v="0"/>
    <s v="Fix"/>
    <s v="Jun-2017"/>
    <x v="8"/>
  </r>
  <r>
    <n v="2017"/>
    <n v="6"/>
    <s v="June"/>
    <x v="43"/>
    <n v="308.98999789999999"/>
    <n v="2"/>
    <n v="154.49"/>
    <n v="5"/>
    <n v="0"/>
    <n v="0"/>
    <s v="Fix"/>
    <s v="Jun-2017"/>
    <x v="8"/>
  </r>
  <r>
    <n v="2017"/>
    <n v="6"/>
    <s v="June"/>
    <x v="22"/>
    <n v="276.97000120000001"/>
    <n v="2"/>
    <n v="138.49"/>
    <n v="4.5"/>
    <n v="0"/>
    <n v="0"/>
    <s v="Fix"/>
    <s v="Jun-2017"/>
    <x v="8"/>
  </r>
  <r>
    <n v="2017"/>
    <n v="6"/>
    <s v="June"/>
    <x v="59"/>
    <n v="273.89999390000003"/>
    <n v="2"/>
    <n v="136.94999999999999"/>
    <n v="3.5"/>
    <n v="0"/>
    <n v="0"/>
    <s v="Fix"/>
    <s v="Jun-2017"/>
    <x v="8"/>
  </r>
  <r>
    <n v="2017"/>
    <n v="6"/>
    <s v="June"/>
    <x v="64"/>
    <n v="184.7000008"/>
    <n v="2"/>
    <n v="92.35"/>
    <n v="4.5"/>
    <n v="0"/>
    <n v="0"/>
    <s v="Fix"/>
    <s v="Jun-2017"/>
    <x v="8"/>
  </r>
  <r>
    <n v="2017"/>
    <n v="6"/>
    <s v="June"/>
    <x v="29"/>
    <n v="154.8000011"/>
    <n v="3"/>
    <n v="51.6"/>
    <n v="3.6666660000000002"/>
    <n v="0"/>
    <n v="0"/>
    <s v="Fix"/>
    <s v="Jun-2017"/>
    <x v="8"/>
  </r>
  <r>
    <n v="2017"/>
    <n v="6"/>
    <s v="June"/>
    <x v="27"/>
    <n v="149.8999939"/>
    <n v="1"/>
    <n v="149.9"/>
    <n v="5"/>
    <n v="0"/>
    <n v="0"/>
    <s v="Fix"/>
    <s v="Jun-2017"/>
    <x v="8"/>
  </r>
  <r>
    <n v="2017"/>
    <n v="6"/>
    <s v="June"/>
    <x v="23"/>
    <n v="145.9000015"/>
    <n v="2"/>
    <n v="72.95"/>
    <n v="5"/>
    <n v="0"/>
    <n v="0"/>
    <s v="Fix"/>
    <s v="Jun-2017"/>
    <x v="8"/>
  </r>
  <r>
    <n v="2017"/>
    <n v="6"/>
    <s v="June"/>
    <x v="62"/>
    <n v="129.9900055"/>
    <n v="1"/>
    <n v="129.99"/>
    <n v="4"/>
    <n v="0"/>
    <n v="0"/>
    <s v="Fix"/>
    <s v="Jun-2017"/>
    <x v="8"/>
  </r>
  <r>
    <n v="2017"/>
    <n v="6"/>
    <s v="June"/>
    <x v="46"/>
    <n v="126.68999669999999"/>
    <n v="4"/>
    <n v="31.67"/>
    <n v="4.75"/>
    <n v="0"/>
    <n v="0"/>
    <s v="Fix"/>
    <s v="Jun-2017"/>
    <x v="8"/>
  </r>
  <r>
    <n v="2017"/>
    <n v="6"/>
    <s v="June"/>
    <x v="66"/>
    <n v="110"/>
    <n v="1"/>
    <n v="110"/>
    <n v="5"/>
    <n v="0"/>
    <n v="0"/>
    <s v="Fix"/>
    <s v="Jun-2017"/>
    <x v="8"/>
  </r>
  <r>
    <n v="2017"/>
    <n v="6"/>
    <s v="June"/>
    <x v="54"/>
    <n v="99"/>
    <n v="1"/>
    <n v="99"/>
    <n v="5"/>
    <n v="0"/>
    <n v="0"/>
    <s v="Fix"/>
    <s v="Jun-2017"/>
    <x v="8"/>
  </r>
  <r>
    <n v="2017"/>
    <n v="6"/>
    <s v="June"/>
    <x v="55"/>
    <n v="79"/>
    <n v="1"/>
    <n v="79"/>
    <n v="5"/>
    <n v="0"/>
    <n v="0"/>
    <s v="Fix"/>
    <s v="Jun-2017"/>
    <x v="8"/>
  </r>
  <r>
    <n v="2017"/>
    <n v="6"/>
    <s v="June"/>
    <x v="68"/>
    <n v="71.900001529999997"/>
    <n v="1"/>
    <n v="71.900000000000006"/>
    <n v="5"/>
    <n v="0"/>
    <n v="0"/>
    <s v="Fix"/>
    <s v="Jun-2017"/>
    <x v="8"/>
  </r>
  <r>
    <n v="2017"/>
    <n v="6"/>
    <s v="June"/>
    <x v="58"/>
    <n v="57.399999620000003"/>
    <n v="2"/>
    <n v="28.7"/>
    <n v="5"/>
    <n v="0"/>
    <n v="0"/>
    <s v="Fix"/>
    <s v="Jun-2017"/>
    <x v="8"/>
  </r>
  <r>
    <n v="2017"/>
    <n v="6"/>
    <s v="June"/>
    <x v="56"/>
    <n v="49.990001679999999"/>
    <n v="1"/>
    <n v="49.99"/>
    <n v="4"/>
    <n v="0"/>
    <n v="0"/>
    <s v="Fix"/>
    <s v="Jun-2017"/>
    <x v="8"/>
  </r>
  <r>
    <n v="2017"/>
    <n v="6"/>
    <s v="June"/>
    <x v="44"/>
    <n v="12.899999619999999"/>
    <n v="1"/>
    <n v="12.9"/>
    <n v="5"/>
    <n v="0"/>
    <n v="0"/>
    <s v="Fix"/>
    <s v="Jun-2017"/>
    <x v="8"/>
  </r>
  <r>
    <n v="2017"/>
    <n v="6"/>
    <s v="June"/>
    <x v="41"/>
    <n v="3.9000000950000002"/>
    <n v="1"/>
    <n v="3.9"/>
    <n v="5"/>
    <n v="0"/>
    <n v="0"/>
    <s v="Fix"/>
    <s v="Jun-2017"/>
    <x v="8"/>
  </r>
  <r>
    <n v="2017"/>
    <n v="7"/>
    <s v="July"/>
    <x v="21"/>
    <n v="63888.75"/>
    <n v="513"/>
    <n v="124.54"/>
    <n v="4.1597220000000004"/>
    <n v="1"/>
    <n v="0.19"/>
    <s v="Fix"/>
    <s v="Jul-2017"/>
    <x v="9"/>
  </r>
  <r>
    <n v="2017"/>
    <n v="7"/>
    <s v="July"/>
    <x v="7"/>
    <n v="38813.409970000001"/>
    <n v="337"/>
    <n v="115.17"/>
    <n v="4.2925370000000003"/>
    <n v="3"/>
    <n v="0.89"/>
    <s v="Fix"/>
    <s v="Jul-2017"/>
    <x v="9"/>
  </r>
  <r>
    <n v="2017"/>
    <n v="7"/>
    <s v="July"/>
    <x v="11"/>
    <n v="38708.999920000002"/>
    <n v="274"/>
    <n v="141.27000000000001"/>
    <n v="4.1771209999999996"/>
    <n v="2"/>
    <n v="0.73"/>
    <s v="Fix"/>
    <s v="Jul-2017"/>
    <x v="9"/>
  </r>
  <r>
    <n v="2017"/>
    <n v="7"/>
    <s v="July"/>
    <x v="17"/>
    <n v="37506.760060000001"/>
    <n v="222"/>
    <n v="168.95"/>
    <n v="4.2727269999999997"/>
    <n v="0"/>
    <n v="0"/>
    <s v="Fix"/>
    <s v="Jul-2017"/>
    <x v="9"/>
  </r>
  <r>
    <n v="2017"/>
    <n v="7"/>
    <s v="July"/>
    <x v="6"/>
    <n v="36804.559990000002"/>
    <n v="157"/>
    <n v="234.42"/>
    <n v="4.0576920000000003"/>
    <n v="1"/>
    <n v="0.64"/>
    <s v="Fix"/>
    <s v="Jul-2017"/>
    <x v="9"/>
  </r>
  <r>
    <n v="2017"/>
    <n v="7"/>
    <s v="July"/>
    <x v="0"/>
    <n v="34896.859980000001"/>
    <n v="278"/>
    <n v="125.53"/>
    <n v="4.1257520000000003"/>
    <n v="1"/>
    <n v="0.36"/>
    <s v="Fix"/>
    <s v="Jul-2017"/>
    <x v="9"/>
  </r>
  <r>
    <n v="2017"/>
    <n v="7"/>
    <s v="July"/>
    <x v="1"/>
    <n v="24751.920020000001"/>
    <n v="253"/>
    <n v="97.83"/>
    <n v="4.1175290000000002"/>
    <n v="0"/>
    <n v="0"/>
    <s v="Fix"/>
    <s v="Jul-2017"/>
    <x v="9"/>
  </r>
  <r>
    <n v="2017"/>
    <n v="7"/>
    <s v="July"/>
    <x v="4"/>
    <n v="24511.72003"/>
    <n v="201"/>
    <n v="121.95"/>
    <n v="4.4472360000000002"/>
    <n v="0"/>
    <n v="0"/>
    <s v="Fix"/>
    <s v="Jul-2017"/>
    <x v="9"/>
  </r>
  <r>
    <n v="2017"/>
    <n v="7"/>
    <s v="July"/>
    <x v="16"/>
    <n v="20874.300050000002"/>
    <n v="225"/>
    <n v="92.77"/>
    <n v="4.3094169999999998"/>
    <n v="1"/>
    <n v="0.44"/>
    <s v="Fix"/>
    <s v="Jul-2017"/>
    <x v="9"/>
  </r>
  <r>
    <n v="2017"/>
    <n v="7"/>
    <s v="July"/>
    <x v="12"/>
    <n v="20067.050019999999"/>
    <n v="159"/>
    <n v="126.21"/>
    <n v="4.2675150000000004"/>
    <n v="1"/>
    <n v="0.63"/>
    <s v="Fix"/>
    <s v="Jul-2017"/>
    <x v="9"/>
  </r>
  <r>
    <n v="2017"/>
    <n v="7"/>
    <s v="July"/>
    <x v="15"/>
    <n v="16892.61016"/>
    <n v="97"/>
    <n v="174.15"/>
    <n v="4.0154629999999996"/>
    <n v="0"/>
    <n v="0"/>
    <s v="Fix"/>
    <s v="Jul-2017"/>
    <x v="9"/>
  </r>
  <r>
    <n v="2017"/>
    <n v="7"/>
    <s v="July"/>
    <x v="10"/>
    <n v="15941.11001"/>
    <n v="124"/>
    <n v="128.56"/>
    <n v="4.4112900000000002"/>
    <n v="1"/>
    <n v="0.81"/>
    <s v="Fix"/>
    <s v="Jul-2017"/>
    <x v="9"/>
  </r>
  <r>
    <n v="2017"/>
    <n v="7"/>
    <s v="July"/>
    <x v="8"/>
    <n v="14119.74006"/>
    <n v="106"/>
    <n v="133.21"/>
    <n v="4.1367919999999998"/>
    <n v="1"/>
    <n v="0.94"/>
    <s v="Fix"/>
    <s v="Jul-2017"/>
    <x v="9"/>
  </r>
  <r>
    <n v="2017"/>
    <n v="7"/>
    <s v="July"/>
    <x v="3"/>
    <n v="12910.020049999999"/>
    <n v="119"/>
    <n v="108.49"/>
    <n v="4.1932770000000001"/>
    <n v="1"/>
    <n v="0.84"/>
    <s v="Fix"/>
    <s v="Jul-2017"/>
    <x v="9"/>
  </r>
  <r>
    <n v="2017"/>
    <n v="7"/>
    <s v="July"/>
    <x v="2"/>
    <n v="9064.8600409999999"/>
    <n v="136"/>
    <n v="66.650000000000006"/>
    <n v="4.2205880000000002"/>
    <n v="0"/>
    <n v="0"/>
    <s v="Fix"/>
    <s v="Jul-2017"/>
    <x v="9"/>
  </r>
  <r>
    <n v="2017"/>
    <n v="7"/>
    <s v="July"/>
    <x v="38"/>
    <n v="8411.5899809999992"/>
    <n v="28"/>
    <n v="300.41000000000003"/>
    <n v="4.1481479999999999"/>
    <n v="2"/>
    <n v="7.14"/>
    <s v="Fix"/>
    <s v="Jul-2017"/>
    <x v="9"/>
  </r>
  <r>
    <n v="2017"/>
    <n v="7"/>
    <s v="July"/>
    <x v="37"/>
    <n v="8357.6100439999991"/>
    <n v="73"/>
    <n v="114.49"/>
    <n v="4.3472220000000004"/>
    <n v="0"/>
    <n v="0"/>
    <s v="Fix"/>
    <s v="Jul-2017"/>
    <x v="9"/>
  </r>
  <r>
    <n v="2017"/>
    <n v="7"/>
    <s v="July"/>
    <x v="13"/>
    <n v="7346.8400069999998"/>
    <n v="87"/>
    <n v="84.45"/>
    <n v="4.2023799999999998"/>
    <n v="0"/>
    <n v="0"/>
    <s v="Fix"/>
    <s v="Jul-2017"/>
    <x v="9"/>
  </r>
  <r>
    <n v="2017"/>
    <n v="7"/>
    <s v="July"/>
    <x v="35"/>
    <n v="7091.7500060000002"/>
    <n v="75"/>
    <n v="94.56"/>
    <n v="4.1133329999999999"/>
    <n v="2"/>
    <n v="2.67"/>
    <s v="Fix"/>
    <s v="Jul-2017"/>
    <x v="9"/>
  </r>
  <r>
    <n v="2017"/>
    <n v="7"/>
    <s v="July"/>
    <x v="19"/>
    <n v="6605.8699589999997"/>
    <n v="71"/>
    <n v="93.04"/>
    <n v="3.9859149999999999"/>
    <n v="0"/>
    <n v="0"/>
    <s v="Fix"/>
    <s v="Jul-2017"/>
    <x v="9"/>
  </r>
  <r>
    <n v="2017"/>
    <n v="7"/>
    <s v="July"/>
    <x v="5"/>
    <n v="5680.1600040000003"/>
    <n v="46"/>
    <n v="123.48"/>
    <n v="4.2391300000000003"/>
    <n v="0"/>
    <n v="0"/>
    <s v="Fix"/>
    <s v="Jul-2017"/>
    <x v="9"/>
  </r>
  <r>
    <n v="2017"/>
    <n v="7"/>
    <s v="July"/>
    <x v="20"/>
    <n v="5193.1000610000001"/>
    <n v="82"/>
    <n v="63.33"/>
    <n v="4.2073169999999998"/>
    <n v="2"/>
    <n v="2.44"/>
    <s v="Fix"/>
    <s v="Jul-2017"/>
    <x v="9"/>
  </r>
  <r>
    <n v="2017"/>
    <n v="7"/>
    <s v="July"/>
    <x v="34"/>
    <n v="4621.3599640000002"/>
    <n v="33"/>
    <n v="140.04"/>
    <n v="3.6666660000000002"/>
    <n v="1"/>
    <n v="3.03"/>
    <s v="Fix"/>
    <s v="Jul-2017"/>
    <x v="9"/>
  </r>
  <r>
    <n v="2017"/>
    <n v="7"/>
    <s v="July"/>
    <x v="52"/>
    <n v="4563.850058"/>
    <n v="36"/>
    <n v="126.77"/>
    <n v="3.75"/>
    <n v="0"/>
    <n v="0"/>
    <s v="Fix"/>
    <s v="Jul-2017"/>
    <x v="9"/>
  </r>
  <r>
    <n v="2017"/>
    <n v="7"/>
    <s v="July"/>
    <x v="36"/>
    <n v="4395.119995"/>
    <n v="27"/>
    <n v="162.78"/>
    <n v="4.1481479999999999"/>
    <n v="0"/>
    <n v="0"/>
    <s v="Fix"/>
    <s v="Jul-2017"/>
    <x v="9"/>
  </r>
  <r>
    <n v="2017"/>
    <n v="7"/>
    <s v="July"/>
    <x v="49"/>
    <n v="3671.989994"/>
    <n v="37"/>
    <n v="99.24"/>
    <n v="4.1621620000000004"/>
    <n v="0"/>
    <n v="0"/>
    <s v="Fix"/>
    <s v="Jul-2017"/>
    <x v="9"/>
  </r>
  <r>
    <n v="2017"/>
    <n v="7"/>
    <s v="July"/>
    <x v="28"/>
    <n v="3124.6600279999998"/>
    <n v="55"/>
    <n v="56.81"/>
    <s v="NULL"/>
    <s v="NULL"/>
    <s v="NULL"/>
    <s v="Fix"/>
    <s v="Jul-2017"/>
    <x v="9"/>
  </r>
  <r>
    <n v="2017"/>
    <n v="7"/>
    <s v="July"/>
    <x v="14"/>
    <n v="1573.379997"/>
    <n v="13"/>
    <n v="121.03"/>
    <n v="3.692307"/>
    <n v="0"/>
    <n v="0"/>
    <s v="Fix"/>
    <s v="Jul-2017"/>
    <x v="9"/>
  </r>
  <r>
    <n v="2017"/>
    <n v="7"/>
    <s v="July"/>
    <x v="30"/>
    <n v="1423.009998"/>
    <n v="19"/>
    <n v="74.900000000000006"/>
    <n v="4.2631569999999996"/>
    <n v="1"/>
    <n v="5.26"/>
    <s v="Fix"/>
    <s v="Jul-2017"/>
    <x v="9"/>
  </r>
  <r>
    <n v="2017"/>
    <n v="7"/>
    <s v="July"/>
    <x v="9"/>
    <n v="1396.0999890000001"/>
    <n v="5"/>
    <n v="279.22000000000003"/>
    <n v="3.4"/>
    <n v="0"/>
    <n v="0"/>
    <s v="Fix"/>
    <s v="Jul-2017"/>
    <x v="9"/>
  </r>
  <r>
    <n v="2017"/>
    <n v="7"/>
    <s v="July"/>
    <x v="42"/>
    <n v="1316.499992"/>
    <n v="9"/>
    <n v="146.28"/>
    <n v="4.3333329999999997"/>
    <n v="0"/>
    <n v="0"/>
    <s v="Fix"/>
    <s v="Jul-2017"/>
    <x v="9"/>
  </r>
  <r>
    <n v="2017"/>
    <n v="7"/>
    <s v="July"/>
    <x v="26"/>
    <n v="1292.399977"/>
    <n v="12"/>
    <n v="107.7"/>
    <n v="5"/>
    <n v="0"/>
    <n v="0"/>
    <s v="Fix"/>
    <s v="Jul-2017"/>
    <x v="9"/>
  </r>
  <r>
    <n v="2017"/>
    <n v="7"/>
    <s v="July"/>
    <x v="43"/>
    <n v="1206.989998"/>
    <n v="5"/>
    <n v="241.4"/>
    <n v="3.6"/>
    <n v="0"/>
    <n v="0"/>
    <s v="Fix"/>
    <s v="Jul-2017"/>
    <x v="9"/>
  </r>
  <r>
    <n v="2017"/>
    <n v="7"/>
    <s v="July"/>
    <x v="45"/>
    <n v="1180"/>
    <n v="1"/>
    <n v="1180"/>
    <n v="5"/>
    <n v="0"/>
    <n v="0"/>
    <s v="Fix"/>
    <s v="Jul-2017"/>
    <x v="9"/>
  </r>
  <r>
    <n v="2017"/>
    <n v="7"/>
    <s v="July"/>
    <x v="33"/>
    <n v="1033.989998"/>
    <n v="7"/>
    <n v="147.71"/>
    <n v="3.4285709999999998"/>
    <n v="0"/>
    <n v="0"/>
    <s v="Fix"/>
    <s v="Jul-2017"/>
    <x v="9"/>
  </r>
  <r>
    <n v="2017"/>
    <n v="7"/>
    <s v="July"/>
    <x v="24"/>
    <n v="771.68999859999997"/>
    <n v="7"/>
    <n v="110.24"/>
    <n v="4.1666660000000002"/>
    <n v="0"/>
    <n v="0"/>
    <s v="Fix"/>
    <s v="Jul-2017"/>
    <x v="9"/>
  </r>
  <r>
    <n v="2017"/>
    <n v="7"/>
    <s v="July"/>
    <x v="46"/>
    <n v="749.69999889999997"/>
    <n v="4"/>
    <n v="187.42"/>
    <n v="3.3333330000000001"/>
    <n v="0"/>
    <n v="0"/>
    <s v="Fix"/>
    <s v="Jul-2017"/>
    <x v="9"/>
  </r>
  <r>
    <n v="2017"/>
    <n v="7"/>
    <s v="July"/>
    <x v="31"/>
    <n v="719.98999979999996"/>
    <n v="8"/>
    <n v="90"/>
    <n v="4.375"/>
    <n v="0"/>
    <n v="0"/>
    <s v="Fix"/>
    <s v="Jul-2017"/>
    <x v="9"/>
  </r>
  <r>
    <n v="2017"/>
    <n v="7"/>
    <s v="July"/>
    <x v="27"/>
    <n v="584.15999790000001"/>
    <n v="7"/>
    <n v="83.45"/>
    <n v="5"/>
    <n v="0"/>
    <n v="0"/>
    <s v="Fix"/>
    <s v="Jul-2017"/>
    <x v="9"/>
  </r>
  <r>
    <n v="2017"/>
    <n v="7"/>
    <s v="July"/>
    <x v="39"/>
    <n v="549.43999099999996"/>
    <n v="5"/>
    <n v="109.89"/>
    <n v="4.5999999999999996"/>
    <n v="0"/>
    <n v="0"/>
    <s v="Fix"/>
    <s v="Jul-2017"/>
    <x v="9"/>
  </r>
  <r>
    <n v="2017"/>
    <n v="7"/>
    <s v="July"/>
    <x v="59"/>
    <n v="530.18999859999997"/>
    <n v="5"/>
    <n v="106.04"/>
    <n v="4.75"/>
    <n v="0"/>
    <n v="0"/>
    <s v="Fix"/>
    <s v="Jul-2017"/>
    <x v="9"/>
  </r>
  <r>
    <n v="2017"/>
    <n v="7"/>
    <s v="July"/>
    <x v="23"/>
    <n v="528"/>
    <n v="2"/>
    <n v="264"/>
    <n v="5"/>
    <n v="0"/>
    <n v="0"/>
    <s v="Fix"/>
    <s v="Jul-2017"/>
    <x v="9"/>
  </r>
  <r>
    <n v="2017"/>
    <n v="7"/>
    <s v="July"/>
    <x v="65"/>
    <n v="469.98999789999999"/>
    <n v="4"/>
    <n v="117.5"/>
    <n v="5"/>
    <n v="0"/>
    <n v="0"/>
    <s v="Fix"/>
    <s v="Jul-2017"/>
    <x v="9"/>
  </r>
  <r>
    <n v="2017"/>
    <n v="7"/>
    <s v="July"/>
    <x v="57"/>
    <n v="386.7499924"/>
    <n v="3"/>
    <n v="128.91999999999999"/>
    <n v="4.3333329999999997"/>
    <n v="0"/>
    <n v="0"/>
    <s v="Fix"/>
    <s v="Jul-2017"/>
    <x v="9"/>
  </r>
  <r>
    <n v="2017"/>
    <n v="7"/>
    <s v="July"/>
    <x v="69"/>
    <n v="360"/>
    <n v="1"/>
    <n v="360"/>
    <n v="5"/>
    <n v="0"/>
    <n v="0"/>
    <s v="Fix"/>
    <s v="Jul-2017"/>
    <x v="9"/>
  </r>
  <r>
    <n v="2017"/>
    <n v="7"/>
    <s v="July"/>
    <x v="51"/>
    <n v="347.58000559999999"/>
    <n v="7"/>
    <n v="49.65"/>
    <n v="4.4285709999999998"/>
    <n v="0"/>
    <n v="0"/>
    <s v="Fix"/>
    <s v="Jul-2017"/>
    <x v="9"/>
  </r>
  <r>
    <n v="2017"/>
    <n v="7"/>
    <s v="July"/>
    <x v="47"/>
    <n v="329"/>
    <n v="1"/>
    <n v="329"/>
    <n v="3"/>
    <n v="0"/>
    <n v="0"/>
    <s v="Fix"/>
    <s v="Jul-2017"/>
    <x v="9"/>
  </r>
  <r>
    <n v="2017"/>
    <n v="7"/>
    <s v="July"/>
    <x v="29"/>
    <n v="310.69999689999997"/>
    <n v="4"/>
    <n v="77.67"/>
    <n v="4"/>
    <n v="0"/>
    <n v="0"/>
    <s v="Fix"/>
    <s v="Jul-2017"/>
    <x v="9"/>
  </r>
  <r>
    <n v="2017"/>
    <n v="7"/>
    <s v="July"/>
    <x v="41"/>
    <n v="274.80000310000003"/>
    <n v="3"/>
    <n v="91.6"/>
    <n v="4"/>
    <n v="0"/>
    <n v="0"/>
    <s v="Fix"/>
    <s v="Jul-2017"/>
    <x v="9"/>
  </r>
  <r>
    <n v="2017"/>
    <n v="7"/>
    <s v="July"/>
    <x v="56"/>
    <n v="273.97000889999998"/>
    <n v="2"/>
    <n v="136.99"/>
    <n v="4"/>
    <n v="0"/>
    <n v="0"/>
    <s v="Fix"/>
    <s v="Jul-2017"/>
    <x v="9"/>
  </r>
  <r>
    <n v="2017"/>
    <n v="7"/>
    <s v="July"/>
    <x v="22"/>
    <n v="245.9599991"/>
    <n v="2"/>
    <n v="122.98"/>
    <n v="5"/>
    <n v="0"/>
    <n v="0"/>
    <s v="Fix"/>
    <s v="Jul-2017"/>
    <x v="9"/>
  </r>
  <r>
    <n v="2017"/>
    <n v="7"/>
    <s v="July"/>
    <x v="70"/>
    <n v="225"/>
    <n v="4"/>
    <n v="56.25"/>
    <n v="4"/>
    <n v="0"/>
    <n v="0"/>
    <s v="Fix"/>
    <s v="Jul-2017"/>
    <x v="9"/>
  </r>
  <r>
    <n v="2017"/>
    <n v="7"/>
    <s v="July"/>
    <x v="18"/>
    <n v="218.73000339999999"/>
    <n v="8"/>
    <n v="27.34"/>
    <n v="3.75"/>
    <n v="0"/>
    <n v="0"/>
    <s v="Fix"/>
    <s v="Jul-2017"/>
    <x v="9"/>
  </r>
  <r>
    <n v="2017"/>
    <n v="7"/>
    <s v="July"/>
    <x v="48"/>
    <n v="198"/>
    <n v="2"/>
    <n v="99"/>
    <n v="3.5"/>
    <n v="0"/>
    <n v="0"/>
    <s v="Fix"/>
    <s v="Jul-2017"/>
    <x v="9"/>
  </r>
  <r>
    <n v="2017"/>
    <n v="7"/>
    <s v="July"/>
    <x v="58"/>
    <n v="168.1999989"/>
    <n v="7"/>
    <n v="24.03"/>
    <n v="4.571428"/>
    <n v="0"/>
    <n v="0"/>
    <s v="Fix"/>
    <s v="Jul-2017"/>
    <x v="9"/>
  </r>
  <r>
    <n v="2017"/>
    <n v="7"/>
    <s v="July"/>
    <x v="67"/>
    <n v="129.8999939"/>
    <n v="1"/>
    <n v="129.9"/>
    <n v="5"/>
    <n v="0"/>
    <n v="0"/>
    <s v="Fix"/>
    <s v="Jul-2017"/>
    <x v="9"/>
  </r>
  <r>
    <n v="2017"/>
    <n v="7"/>
    <s v="July"/>
    <x v="63"/>
    <n v="109.4000015"/>
    <n v="1"/>
    <n v="109.4"/>
    <n v="1"/>
    <n v="0"/>
    <n v="0"/>
    <s v="Fix"/>
    <s v="Jul-2017"/>
    <x v="9"/>
  </r>
  <r>
    <n v="2017"/>
    <n v="7"/>
    <s v="July"/>
    <x v="50"/>
    <n v="93.599998470000003"/>
    <n v="1"/>
    <n v="93.6"/>
    <n v="5"/>
    <n v="0"/>
    <n v="0"/>
    <s v="Fix"/>
    <s v="Jul-2017"/>
    <x v="9"/>
  </r>
  <r>
    <n v="2017"/>
    <n v="7"/>
    <s v="July"/>
    <x v="71"/>
    <n v="69.900001529999997"/>
    <n v="1"/>
    <n v="69.900000000000006"/>
    <n v="5"/>
    <n v="0"/>
    <n v="0"/>
    <s v="Fix"/>
    <s v="Jul-2017"/>
    <x v="9"/>
  </r>
  <r>
    <n v="2017"/>
    <n v="7"/>
    <s v="July"/>
    <x v="60"/>
    <n v="69.900001529999997"/>
    <n v="1"/>
    <n v="69.900000000000006"/>
    <n v="4"/>
    <n v="0"/>
    <n v="0"/>
    <s v="Fix"/>
    <s v="Jul-2017"/>
    <x v="9"/>
  </r>
  <r>
    <n v="2017"/>
    <n v="7"/>
    <s v="July"/>
    <x v="64"/>
    <n v="65.090001580000006"/>
    <n v="2"/>
    <n v="32.549999999999997"/>
    <n v="4.5"/>
    <n v="0"/>
    <n v="0"/>
    <s v="Fix"/>
    <s v="Jul-2017"/>
    <x v="9"/>
  </r>
  <r>
    <n v="2017"/>
    <n v="7"/>
    <s v="July"/>
    <x v="44"/>
    <n v="12.899999619999999"/>
    <n v="1"/>
    <n v="12.9"/>
    <n v="4"/>
    <n v="0"/>
    <n v="0"/>
    <s v="Fix"/>
    <s v="Jul-2017"/>
    <x v="9"/>
  </r>
  <r>
    <n v="2017"/>
    <n v="8"/>
    <s v="August"/>
    <x v="21"/>
    <n v="57137.230089999997"/>
    <n v="448"/>
    <n v="127.54"/>
    <n v="4.0914219999999997"/>
    <n v="1"/>
    <n v="0.22"/>
    <s v="Fix"/>
    <s v="Aug-2017"/>
    <x v="10"/>
  </r>
  <r>
    <n v="2017"/>
    <n v="8"/>
    <s v="August"/>
    <x v="0"/>
    <n v="49873.900139999998"/>
    <n v="345"/>
    <n v="144.56"/>
    <n v="4.2756590000000001"/>
    <n v="1"/>
    <n v="0.28999999999999998"/>
    <s v="Fix"/>
    <s v="Aug-2017"/>
    <x v="10"/>
  </r>
  <r>
    <n v="2017"/>
    <n v="8"/>
    <s v="August"/>
    <x v="7"/>
    <n v="41732.26008"/>
    <n v="383"/>
    <n v="108.96"/>
    <n v="4.3756539999999999"/>
    <n v="1"/>
    <n v="0.26"/>
    <s v="Fix"/>
    <s v="Aug-2017"/>
    <x v="10"/>
  </r>
  <r>
    <n v="2017"/>
    <n v="8"/>
    <s v="August"/>
    <x v="17"/>
    <n v="41720.030059999997"/>
    <n v="241"/>
    <n v="173.11"/>
    <n v="4.3833330000000004"/>
    <n v="1"/>
    <n v="0.41"/>
    <s v="Fix"/>
    <s v="Aug-2017"/>
    <x v="10"/>
  </r>
  <r>
    <n v="2017"/>
    <n v="8"/>
    <s v="August"/>
    <x v="6"/>
    <n v="36419.199650000002"/>
    <n v="195"/>
    <n v="186.77"/>
    <n v="4.4153840000000004"/>
    <n v="1"/>
    <n v="0.51"/>
    <s v="Fix"/>
    <s v="Aug-2017"/>
    <x v="10"/>
  </r>
  <r>
    <n v="2017"/>
    <n v="8"/>
    <s v="August"/>
    <x v="1"/>
    <n v="35511.730100000001"/>
    <n v="332"/>
    <n v="106.96"/>
    <n v="4.0705520000000002"/>
    <n v="3"/>
    <n v="0.9"/>
    <s v="Fix"/>
    <s v="Aug-2017"/>
    <x v="10"/>
  </r>
  <r>
    <n v="2017"/>
    <n v="8"/>
    <s v="August"/>
    <x v="11"/>
    <n v="35025.72"/>
    <n v="297"/>
    <n v="117.93"/>
    <n v="4.2533779999999997"/>
    <n v="0"/>
    <n v="0"/>
    <s v="Fix"/>
    <s v="Aug-2017"/>
    <x v="10"/>
  </r>
  <r>
    <n v="2017"/>
    <n v="8"/>
    <s v="August"/>
    <x v="32"/>
    <n v="33700"/>
    <n v="29"/>
    <n v="1162.07"/>
    <n v="4.2068960000000004"/>
    <n v="0"/>
    <n v="0"/>
    <s v="Fix"/>
    <s v="Aug-2017"/>
    <x v="10"/>
  </r>
  <r>
    <n v="2017"/>
    <n v="8"/>
    <s v="August"/>
    <x v="12"/>
    <n v="24269.400170000001"/>
    <n v="199"/>
    <n v="121.96"/>
    <n v="4.3768840000000004"/>
    <n v="1"/>
    <n v="0.5"/>
    <s v="Fix"/>
    <s v="Aug-2017"/>
    <x v="10"/>
  </r>
  <r>
    <n v="2017"/>
    <n v="8"/>
    <s v="August"/>
    <x v="16"/>
    <n v="23733.940009999998"/>
    <n v="249"/>
    <n v="95.32"/>
    <n v="4.1862339999999998"/>
    <n v="1"/>
    <n v="0.4"/>
    <s v="Fix"/>
    <s v="Aug-2017"/>
    <x v="10"/>
  </r>
  <r>
    <n v="2017"/>
    <n v="8"/>
    <s v="August"/>
    <x v="8"/>
    <n v="20421.109929999999"/>
    <n v="133"/>
    <n v="153.54"/>
    <n v="4.2878780000000001"/>
    <n v="1"/>
    <n v="0.75"/>
    <s v="Fix"/>
    <s v="Aug-2017"/>
    <x v="10"/>
  </r>
  <r>
    <n v="2017"/>
    <n v="8"/>
    <s v="August"/>
    <x v="10"/>
    <n v="19982.129919999999"/>
    <n v="125"/>
    <n v="159.86000000000001"/>
    <n v="4.2080000000000002"/>
    <n v="2"/>
    <n v="1.6"/>
    <s v="Fix"/>
    <s v="Aug-2017"/>
    <x v="10"/>
  </r>
  <r>
    <n v="2017"/>
    <n v="8"/>
    <s v="August"/>
    <x v="4"/>
    <n v="18126.870019999998"/>
    <n v="170"/>
    <n v="106.63"/>
    <n v="4.4082840000000001"/>
    <n v="1"/>
    <n v="0.59"/>
    <s v="Fix"/>
    <s v="Aug-2017"/>
    <x v="10"/>
  </r>
  <r>
    <n v="2017"/>
    <n v="8"/>
    <s v="August"/>
    <x v="3"/>
    <n v="13142.090050000001"/>
    <n v="118"/>
    <n v="111.37"/>
    <n v="4.3931620000000002"/>
    <n v="0"/>
    <n v="0"/>
    <s v="Fix"/>
    <s v="Aug-2017"/>
    <x v="10"/>
  </r>
  <r>
    <n v="2017"/>
    <n v="8"/>
    <s v="August"/>
    <x v="2"/>
    <n v="10930.289940000001"/>
    <n v="131"/>
    <n v="83.44"/>
    <n v="4.0610679999999997"/>
    <n v="2"/>
    <n v="1.53"/>
    <s v="Fix"/>
    <s v="Aug-2017"/>
    <x v="10"/>
  </r>
  <r>
    <n v="2017"/>
    <n v="8"/>
    <s v="August"/>
    <x v="19"/>
    <n v="10500.78995"/>
    <n v="76"/>
    <n v="138.16999999999999"/>
    <n v="4.3157889999999997"/>
    <n v="0"/>
    <n v="0"/>
    <s v="Fix"/>
    <s v="Aug-2017"/>
    <x v="10"/>
  </r>
  <r>
    <n v="2017"/>
    <n v="8"/>
    <s v="August"/>
    <x v="15"/>
    <n v="9877.3601070000004"/>
    <n v="46"/>
    <n v="214.73"/>
    <n v="3.8913039999999999"/>
    <n v="0"/>
    <n v="0"/>
    <s v="Fix"/>
    <s v="Aug-2017"/>
    <x v="10"/>
  </r>
  <r>
    <n v="2017"/>
    <n v="8"/>
    <s v="August"/>
    <x v="5"/>
    <n v="8824.2499449999996"/>
    <n v="85"/>
    <n v="103.81"/>
    <n v="4.2440470000000001"/>
    <n v="0"/>
    <n v="0"/>
    <s v="Fix"/>
    <s v="Aug-2017"/>
    <x v="10"/>
  </r>
  <r>
    <n v="2017"/>
    <n v="8"/>
    <s v="August"/>
    <x v="38"/>
    <n v="7185.549986"/>
    <n v="24"/>
    <n v="299.39999999999998"/>
    <n v="4.25"/>
    <n v="1"/>
    <n v="4.17"/>
    <s v="Fix"/>
    <s v="Aug-2017"/>
    <x v="10"/>
  </r>
  <r>
    <n v="2017"/>
    <n v="8"/>
    <s v="August"/>
    <x v="37"/>
    <n v="6833.1000439999998"/>
    <n v="58"/>
    <n v="117.81"/>
    <n v="4.4137930000000001"/>
    <n v="0"/>
    <n v="0"/>
    <s v="Fix"/>
    <s v="Aug-2017"/>
    <x v="10"/>
  </r>
  <r>
    <n v="2017"/>
    <n v="8"/>
    <s v="August"/>
    <x v="20"/>
    <n v="6617.6800480000002"/>
    <n v="89"/>
    <n v="74.36"/>
    <n v="4.2921339999999999"/>
    <n v="0"/>
    <n v="0"/>
    <s v="Fix"/>
    <s v="Aug-2017"/>
    <x v="10"/>
  </r>
  <r>
    <n v="2017"/>
    <n v="8"/>
    <s v="August"/>
    <x v="35"/>
    <n v="6366.91003"/>
    <n v="75"/>
    <n v="84.89"/>
    <n v="4.5199999999999996"/>
    <n v="0"/>
    <n v="0"/>
    <s v="Fix"/>
    <s v="Aug-2017"/>
    <x v="10"/>
  </r>
  <r>
    <n v="2017"/>
    <n v="8"/>
    <s v="August"/>
    <x v="28"/>
    <n v="5243.4000169999999"/>
    <n v="66"/>
    <n v="79.45"/>
    <s v="NULL"/>
    <s v="NULL"/>
    <s v="NULL"/>
    <s v="Fix"/>
    <s v="Aug-2017"/>
    <x v="10"/>
  </r>
  <r>
    <n v="2017"/>
    <n v="8"/>
    <s v="August"/>
    <x v="49"/>
    <n v="4587.0500670000001"/>
    <n v="49"/>
    <n v="93.61"/>
    <n v="3.9285709999999998"/>
    <n v="0"/>
    <n v="0"/>
    <s v="Fix"/>
    <s v="Aug-2017"/>
    <x v="10"/>
  </r>
  <r>
    <n v="2017"/>
    <n v="8"/>
    <s v="August"/>
    <x v="34"/>
    <n v="4297.0099980000005"/>
    <n v="32"/>
    <n v="134.28"/>
    <n v="4.4375"/>
    <n v="0"/>
    <n v="0"/>
    <s v="Fix"/>
    <s v="Aug-2017"/>
    <x v="10"/>
  </r>
  <r>
    <n v="2017"/>
    <n v="8"/>
    <s v="August"/>
    <x v="9"/>
    <n v="4271.7299190000003"/>
    <n v="12"/>
    <n v="355.98"/>
    <n v="4.6363630000000002"/>
    <n v="0"/>
    <n v="0"/>
    <s v="Fix"/>
    <s v="Aug-2017"/>
    <x v="10"/>
  </r>
  <r>
    <n v="2017"/>
    <n v="8"/>
    <s v="August"/>
    <x v="33"/>
    <n v="4004.5500339999999"/>
    <n v="17"/>
    <n v="235.56"/>
    <n v="4.625"/>
    <n v="2"/>
    <n v="11.76"/>
    <s v="Fix"/>
    <s v="Aug-2017"/>
    <x v="10"/>
  </r>
  <r>
    <n v="2017"/>
    <n v="8"/>
    <s v="August"/>
    <x v="52"/>
    <n v="4000.1900220000002"/>
    <n v="24"/>
    <n v="166.67"/>
    <n v="4.2608689999999996"/>
    <n v="0"/>
    <n v="0"/>
    <s v="Fix"/>
    <s v="Aug-2017"/>
    <x v="10"/>
  </r>
  <r>
    <n v="2017"/>
    <n v="8"/>
    <s v="August"/>
    <x v="18"/>
    <n v="3343.5399889999999"/>
    <n v="14"/>
    <n v="238.82"/>
    <n v="4.5"/>
    <n v="0"/>
    <n v="0"/>
    <s v="Fix"/>
    <s v="Aug-2017"/>
    <x v="10"/>
  </r>
  <r>
    <n v="2017"/>
    <n v="8"/>
    <s v="August"/>
    <x v="26"/>
    <n v="3214.8000200000001"/>
    <n v="29"/>
    <n v="110.86"/>
    <n v="4.5"/>
    <n v="1"/>
    <n v="3.45"/>
    <s v="Fix"/>
    <s v="Aug-2017"/>
    <x v="10"/>
  </r>
  <r>
    <n v="2017"/>
    <n v="8"/>
    <s v="August"/>
    <x v="13"/>
    <n v="2854.150032"/>
    <n v="52"/>
    <n v="54.89"/>
    <n v="4.0999999999999996"/>
    <n v="0"/>
    <n v="0"/>
    <s v="Fix"/>
    <s v="Aug-2017"/>
    <x v="10"/>
  </r>
  <r>
    <n v="2017"/>
    <n v="8"/>
    <s v="August"/>
    <x v="36"/>
    <n v="2478.0700320000001"/>
    <n v="21"/>
    <n v="118"/>
    <n v="4.25"/>
    <n v="0"/>
    <n v="0"/>
    <s v="Fix"/>
    <s v="Aug-2017"/>
    <x v="10"/>
  </r>
  <r>
    <n v="2017"/>
    <n v="8"/>
    <s v="August"/>
    <x v="14"/>
    <n v="1937.390011"/>
    <n v="22"/>
    <n v="88.06"/>
    <n v="4.1363630000000002"/>
    <n v="0"/>
    <n v="0"/>
    <s v="Fix"/>
    <s v="Aug-2017"/>
    <x v="10"/>
  </r>
  <r>
    <n v="2017"/>
    <n v="8"/>
    <s v="August"/>
    <x v="30"/>
    <n v="1491.69002"/>
    <n v="18"/>
    <n v="82.87"/>
    <n v="4.5882350000000001"/>
    <n v="0"/>
    <n v="0"/>
    <s v="Fix"/>
    <s v="Aug-2017"/>
    <x v="10"/>
  </r>
  <r>
    <n v="2017"/>
    <n v="8"/>
    <s v="August"/>
    <x v="51"/>
    <n v="1286.190006"/>
    <n v="7"/>
    <n v="183.74"/>
    <n v="4"/>
    <n v="0"/>
    <n v="0"/>
    <s v="Fix"/>
    <s v="Aug-2017"/>
    <x v="10"/>
  </r>
  <r>
    <n v="2017"/>
    <n v="8"/>
    <s v="August"/>
    <x v="31"/>
    <n v="1205.0500199999999"/>
    <n v="13"/>
    <n v="92.7"/>
    <n v="2.8461530000000002"/>
    <n v="0"/>
    <n v="0"/>
    <s v="Fix"/>
    <s v="Aug-2017"/>
    <x v="10"/>
  </r>
  <r>
    <n v="2017"/>
    <n v="8"/>
    <s v="August"/>
    <x v="23"/>
    <n v="1196.3799919999999"/>
    <n v="9"/>
    <n v="132.93"/>
    <n v="4.6666660000000002"/>
    <n v="0"/>
    <n v="0"/>
    <s v="Fix"/>
    <s v="Aug-2017"/>
    <x v="10"/>
  </r>
  <r>
    <n v="2017"/>
    <n v="8"/>
    <s v="August"/>
    <x v="39"/>
    <n v="1180.000004"/>
    <n v="6"/>
    <n v="196.67"/>
    <n v="3.8333330000000001"/>
    <n v="0"/>
    <n v="0"/>
    <s v="Fix"/>
    <s v="Aug-2017"/>
    <x v="10"/>
  </r>
  <r>
    <n v="2017"/>
    <n v="8"/>
    <s v="August"/>
    <x v="41"/>
    <n v="1111.0000150000001"/>
    <n v="13"/>
    <n v="85.46"/>
    <n v="4.3846150000000002"/>
    <n v="0"/>
    <n v="0"/>
    <s v="Fix"/>
    <s v="Aug-2017"/>
    <x v="10"/>
  </r>
  <r>
    <n v="2017"/>
    <n v="8"/>
    <s v="August"/>
    <x v="24"/>
    <n v="1050.6999949999999"/>
    <n v="7"/>
    <n v="150.1"/>
    <n v="3.785714"/>
    <n v="0"/>
    <n v="0"/>
    <s v="Fix"/>
    <s v="Aug-2017"/>
    <x v="10"/>
  </r>
  <r>
    <n v="2017"/>
    <n v="8"/>
    <s v="August"/>
    <x v="42"/>
    <n v="1006.199989"/>
    <n v="7"/>
    <n v="143.74"/>
    <n v="3.8571420000000001"/>
    <n v="0"/>
    <n v="0"/>
    <s v="Fix"/>
    <s v="Aug-2017"/>
    <x v="10"/>
  </r>
  <r>
    <n v="2017"/>
    <n v="8"/>
    <s v="August"/>
    <x v="22"/>
    <n v="956.90000150000003"/>
    <n v="3"/>
    <n v="318.97000000000003"/>
    <n v="4"/>
    <n v="0"/>
    <n v="0"/>
    <s v="Fix"/>
    <s v="Aug-2017"/>
    <x v="10"/>
  </r>
  <r>
    <n v="2017"/>
    <n v="8"/>
    <s v="August"/>
    <x v="43"/>
    <n v="618"/>
    <n v="3"/>
    <n v="206"/>
    <n v="4.6666660000000002"/>
    <n v="0"/>
    <n v="0"/>
    <s v="Fix"/>
    <s v="Aug-2017"/>
    <x v="10"/>
  </r>
  <r>
    <n v="2017"/>
    <n v="8"/>
    <s v="August"/>
    <x v="69"/>
    <n v="589"/>
    <n v="2"/>
    <n v="294.5"/>
    <n v="5"/>
    <n v="0"/>
    <n v="0"/>
    <s v="Fix"/>
    <s v="Aug-2017"/>
    <x v="10"/>
  </r>
  <r>
    <n v="2017"/>
    <n v="8"/>
    <s v="August"/>
    <x v="63"/>
    <n v="509.38999180000002"/>
    <n v="2"/>
    <n v="254.69"/>
    <n v="4.5"/>
    <n v="0"/>
    <n v="0"/>
    <s v="Fix"/>
    <s v="Aug-2017"/>
    <x v="10"/>
  </r>
  <r>
    <n v="2017"/>
    <n v="8"/>
    <s v="August"/>
    <x v="58"/>
    <n v="494.81001279999998"/>
    <n v="12"/>
    <n v="41.23"/>
    <n v="4.625"/>
    <n v="0"/>
    <n v="0"/>
    <s v="Fix"/>
    <s v="Aug-2017"/>
    <x v="10"/>
  </r>
  <r>
    <n v="2017"/>
    <n v="8"/>
    <s v="August"/>
    <x v="48"/>
    <n v="450.88999940000002"/>
    <n v="6"/>
    <n v="75.150000000000006"/>
    <n v="4.1666660000000002"/>
    <n v="0"/>
    <n v="0"/>
    <s v="Fix"/>
    <s v="Aug-2017"/>
    <x v="10"/>
  </r>
  <r>
    <n v="2017"/>
    <n v="8"/>
    <s v="August"/>
    <x v="59"/>
    <n v="377.80000109999997"/>
    <n v="4"/>
    <n v="94.45"/>
    <n v="4.25"/>
    <n v="0"/>
    <n v="0"/>
    <s v="Fix"/>
    <s v="Aug-2017"/>
    <x v="10"/>
  </r>
  <r>
    <n v="2017"/>
    <n v="8"/>
    <s v="August"/>
    <x v="27"/>
    <n v="364.49999430000003"/>
    <n v="8"/>
    <n v="45.56"/>
    <n v="4.75"/>
    <n v="0"/>
    <n v="0"/>
    <s v="Fix"/>
    <s v="Aug-2017"/>
    <x v="10"/>
  </r>
  <r>
    <n v="2017"/>
    <n v="8"/>
    <s v="August"/>
    <x v="65"/>
    <n v="313"/>
    <n v="2"/>
    <n v="156.5"/>
    <n v="5"/>
    <n v="0"/>
    <n v="0"/>
    <s v="Fix"/>
    <s v="Aug-2017"/>
    <x v="10"/>
  </r>
  <r>
    <n v="2017"/>
    <n v="8"/>
    <s v="August"/>
    <x v="60"/>
    <n v="265.7999954"/>
    <n v="2"/>
    <n v="132.9"/>
    <n v="3"/>
    <n v="0"/>
    <n v="0"/>
    <s v="Fix"/>
    <s v="Aug-2017"/>
    <x v="10"/>
  </r>
  <r>
    <n v="2017"/>
    <n v="8"/>
    <s v="August"/>
    <x v="57"/>
    <n v="244.7000046"/>
    <n v="4"/>
    <n v="61.18"/>
    <n v="4.25"/>
    <n v="0"/>
    <n v="0"/>
    <s v="Fix"/>
    <s v="Aug-2017"/>
    <x v="10"/>
  </r>
  <r>
    <n v="2017"/>
    <n v="8"/>
    <s v="August"/>
    <x v="29"/>
    <n v="188.7000027"/>
    <n v="4"/>
    <n v="47.18"/>
    <n v="4.25"/>
    <n v="0"/>
    <n v="0"/>
    <s v="Fix"/>
    <s v="Aug-2017"/>
    <x v="10"/>
  </r>
  <r>
    <n v="2017"/>
    <n v="8"/>
    <s v="August"/>
    <x v="70"/>
    <n v="135"/>
    <n v="2"/>
    <n v="67.5"/>
    <n v="5"/>
    <n v="0"/>
    <n v="0"/>
    <s v="Fix"/>
    <s v="Aug-2017"/>
    <x v="10"/>
  </r>
  <r>
    <n v="2017"/>
    <n v="8"/>
    <s v="August"/>
    <x v="50"/>
    <n v="124.8000031"/>
    <n v="1"/>
    <n v="124.8"/>
    <n v="5"/>
    <n v="0"/>
    <n v="0"/>
    <s v="Fix"/>
    <s v="Aug-2017"/>
    <x v="10"/>
  </r>
  <r>
    <n v="2017"/>
    <n v="8"/>
    <s v="August"/>
    <x v="56"/>
    <n v="119.9000015"/>
    <n v="2"/>
    <n v="59.95"/>
    <n v="5"/>
    <n v="0"/>
    <n v="0"/>
    <s v="Fix"/>
    <s v="Aug-2017"/>
    <x v="10"/>
  </r>
  <r>
    <n v="2017"/>
    <n v="8"/>
    <s v="August"/>
    <x v="46"/>
    <n v="113.3999977"/>
    <n v="6"/>
    <n v="18.899999999999999"/>
    <n v="2.8333330000000001"/>
    <n v="0"/>
    <n v="0"/>
    <s v="Fix"/>
    <s v="Aug-2017"/>
    <x v="10"/>
  </r>
  <r>
    <n v="2017"/>
    <n v="8"/>
    <s v="August"/>
    <x v="68"/>
    <n v="109.06000330000001"/>
    <n v="2"/>
    <n v="54.53"/>
    <n v="2"/>
    <n v="0"/>
    <n v="0"/>
    <s v="Fix"/>
    <s v="Aug-2017"/>
    <x v="10"/>
  </r>
  <r>
    <n v="2017"/>
    <n v="8"/>
    <s v="August"/>
    <x v="45"/>
    <n v="88"/>
    <n v="1"/>
    <n v="88"/>
    <n v="5"/>
    <n v="0"/>
    <n v="0"/>
    <s v="Fix"/>
    <s v="Aug-2017"/>
    <x v="10"/>
  </r>
  <r>
    <n v="2017"/>
    <n v="8"/>
    <s v="August"/>
    <x v="54"/>
    <n v="61"/>
    <n v="1"/>
    <n v="61"/>
    <n v="5"/>
    <n v="0"/>
    <n v="0"/>
    <s v="Fix"/>
    <s v="Aug-2017"/>
    <x v="10"/>
  </r>
  <r>
    <n v="2017"/>
    <n v="8"/>
    <s v="August"/>
    <x v="64"/>
    <n v="58.900001529999997"/>
    <n v="1"/>
    <n v="58.9"/>
    <n v="5"/>
    <n v="0"/>
    <n v="0"/>
    <s v="Fix"/>
    <s v="Aug-2017"/>
    <x v="10"/>
  </r>
  <r>
    <n v="2017"/>
    <n v="8"/>
    <s v="August"/>
    <x v="66"/>
    <n v="49.900001529999997"/>
    <n v="1"/>
    <n v="49.9"/>
    <n v="1"/>
    <n v="0"/>
    <n v="0"/>
    <s v="Fix"/>
    <s v="Aug-2017"/>
    <x v="10"/>
  </r>
  <r>
    <n v="2017"/>
    <n v="8"/>
    <s v="August"/>
    <x v="44"/>
    <n v="38.699998860000001"/>
    <n v="2"/>
    <n v="19.350000000000001"/>
    <n v="5"/>
    <n v="0"/>
    <n v="0"/>
    <s v="Fix"/>
    <s v="Aug-2017"/>
    <x v="10"/>
  </r>
  <r>
    <n v="2017"/>
    <n v="8"/>
    <s v="August"/>
    <x v="53"/>
    <n v="8.8999996190000008"/>
    <n v="1"/>
    <n v="8.9"/>
    <n v="1"/>
    <n v="0"/>
    <n v="0"/>
    <s v="Fix"/>
    <s v="Aug-2017"/>
    <x v="10"/>
  </r>
  <r>
    <n v="2017"/>
    <n v="9"/>
    <s v="September"/>
    <x v="32"/>
    <n v="52878.880129999998"/>
    <n v="40"/>
    <n v="1321.97"/>
    <n v="4.45"/>
    <n v="0"/>
    <n v="0"/>
    <s v="Fix"/>
    <s v="Sep-2017"/>
    <x v="11"/>
  </r>
  <r>
    <n v="2017"/>
    <n v="9"/>
    <s v="September"/>
    <x v="21"/>
    <n v="52473.200019999997"/>
    <n v="461"/>
    <n v="113.82"/>
    <n v="4.0637359999999996"/>
    <n v="0"/>
    <n v="0"/>
    <s v="Fix"/>
    <s v="Sep-2017"/>
    <x v="11"/>
  </r>
  <r>
    <n v="2017"/>
    <n v="9"/>
    <s v="September"/>
    <x v="0"/>
    <n v="51537.64993"/>
    <n v="360"/>
    <n v="143.16"/>
    <n v="4.2219100000000003"/>
    <n v="0"/>
    <n v="0"/>
    <s v="Fix"/>
    <s v="Sep-2017"/>
    <x v="11"/>
  </r>
  <r>
    <n v="2017"/>
    <n v="9"/>
    <s v="September"/>
    <x v="7"/>
    <n v="50167.479959999997"/>
    <n v="416"/>
    <n v="120.59"/>
    <n v="4.3240290000000003"/>
    <n v="2"/>
    <n v="0.48"/>
    <s v="Fix"/>
    <s v="Sep-2017"/>
    <x v="11"/>
  </r>
  <r>
    <n v="2017"/>
    <n v="9"/>
    <s v="September"/>
    <x v="6"/>
    <n v="47135.599580000002"/>
    <n v="255"/>
    <n v="184.85"/>
    <n v="4.2857139999999996"/>
    <n v="1"/>
    <n v="0.39"/>
    <s v="Fix"/>
    <s v="Sep-2017"/>
    <x v="11"/>
  </r>
  <r>
    <n v="2017"/>
    <n v="9"/>
    <s v="September"/>
    <x v="17"/>
    <n v="38210.33988"/>
    <n v="200"/>
    <n v="191.05"/>
    <n v="4.2055829999999998"/>
    <n v="2"/>
    <n v="1"/>
    <s v="Fix"/>
    <s v="Sep-2017"/>
    <x v="11"/>
  </r>
  <r>
    <n v="2017"/>
    <n v="9"/>
    <s v="September"/>
    <x v="4"/>
    <n v="31399.22005"/>
    <n v="273"/>
    <n v="115.02"/>
    <n v="4.2044600000000001"/>
    <n v="3"/>
    <n v="1.1000000000000001"/>
    <s v="Fix"/>
    <s v="Sep-2017"/>
    <x v="11"/>
  </r>
  <r>
    <n v="2017"/>
    <n v="9"/>
    <s v="September"/>
    <x v="1"/>
    <n v="30838.690119999999"/>
    <n v="275"/>
    <n v="112.14"/>
    <n v="4.179487"/>
    <n v="1"/>
    <n v="0.36"/>
    <s v="Fix"/>
    <s v="Sep-2017"/>
    <x v="11"/>
  </r>
  <r>
    <n v="2017"/>
    <n v="9"/>
    <s v="September"/>
    <x v="11"/>
    <n v="28930.980019999999"/>
    <n v="216"/>
    <n v="133.94"/>
    <n v="4.1712959999999999"/>
    <n v="0"/>
    <n v="0"/>
    <s v="Fix"/>
    <s v="Sep-2017"/>
    <x v="11"/>
  </r>
  <r>
    <n v="2017"/>
    <n v="9"/>
    <s v="September"/>
    <x v="10"/>
    <n v="24366.300009999999"/>
    <n v="165"/>
    <n v="147.66999999999999"/>
    <n v="4.1158530000000004"/>
    <n v="0"/>
    <n v="0"/>
    <s v="Fix"/>
    <s v="Sep-2017"/>
    <x v="11"/>
  </r>
  <r>
    <n v="2017"/>
    <n v="9"/>
    <s v="September"/>
    <x v="12"/>
    <n v="22507.230169999999"/>
    <n v="179"/>
    <n v="125.74"/>
    <n v="4.3728809999999996"/>
    <n v="0"/>
    <n v="0"/>
    <s v="Fix"/>
    <s v="Sep-2017"/>
    <x v="11"/>
  </r>
  <r>
    <n v="2017"/>
    <n v="9"/>
    <s v="September"/>
    <x v="16"/>
    <n v="20313.259989999999"/>
    <n v="223"/>
    <n v="91.09"/>
    <n v="4.22072"/>
    <n v="0"/>
    <n v="0"/>
    <s v="Fix"/>
    <s v="Sep-2017"/>
    <x v="11"/>
  </r>
  <r>
    <n v="2017"/>
    <n v="9"/>
    <s v="September"/>
    <x v="2"/>
    <n v="18559.249769999999"/>
    <n v="164"/>
    <n v="113.17"/>
    <n v="4.3558279999999998"/>
    <n v="0"/>
    <n v="0"/>
    <s v="Fix"/>
    <s v="Sep-2017"/>
    <x v="11"/>
  </r>
  <r>
    <n v="2017"/>
    <n v="9"/>
    <s v="September"/>
    <x v="3"/>
    <n v="14744.87004"/>
    <n v="142"/>
    <n v="103.84"/>
    <n v="4.1056330000000001"/>
    <n v="0"/>
    <n v="0"/>
    <s v="Fix"/>
    <s v="Sep-2017"/>
    <x v="11"/>
  </r>
  <r>
    <n v="2017"/>
    <n v="9"/>
    <s v="September"/>
    <x v="8"/>
    <n v="14544.670029999999"/>
    <n v="97"/>
    <n v="149.94999999999999"/>
    <n v="4.2604160000000002"/>
    <n v="0"/>
    <n v="0"/>
    <s v="Fix"/>
    <s v="Sep-2017"/>
    <x v="11"/>
  </r>
  <r>
    <n v="2017"/>
    <n v="9"/>
    <s v="September"/>
    <x v="18"/>
    <n v="13692.91"/>
    <n v="6"/>
    <n v="2282.15"/>
    <n v="3.6666660000000002"/>
    <n v="0"/>
    <n v="0"/>
    <s v="Fix"/>
    <s v="Sep-2017"/>
    <x v="11"/>
  </r>
  <r>
    <n v="2017"/>
    <n v="9"/>
    <s v="September"/>
    <x v="20"/>
    <n v="11948.21996"/>
    <n v="103"/>
    <n v="116"/>
    <n v="4.2281550000000001"/>
    <n v="0"/>
    <n v="0"/>
    <s v="Fix"/>
    <s v="Sep-2017"/>
    <x v="11"/>
  </r>
  <r>
    <n v="2017"/>
    <n v="9"/>
    <s v="September"/>
    <x v="34"/>
    <n v="10965.62995"/>
    <n v="32"/>
    <n v="342.68"/>
    <n v="4.09375"/>
    <n v="2"/>
    <n v="6.25"/>
    <s v="Fix"/>
    <s v="Sep-2017"/>
    <x v="11"/>
  </r>
  <r>
    <n v="2017"/>
    <n v="9"/>
    <s v="September"/>
    <x v="15"/>
    <n v="9208.6500090000009"/>
    <n v="37"/>
    <n v="248.88"/>
    <n v="3.8783780000000001"/>
    <n v="0"/>
    <n v="0"/>
    <s v="Fix"/>
    <s v="Sep-2017"/>
    <x v="11"/>
  </r>
  <r>
    <n v="2017"/>
    <n v="9"/>
    <s v="September"/>
    <x v="38"/>
    <n v="9034.9699760000003"/>
    <n v="24"/>
    <n v="376.46"/>
    <n v="4.3043469999999999"/>
    <n v="0"/>
    <n v="0"/>
    <s v="Fix"/>
    <s v="Sep-2017"/>
    <x v="11"/>
  </r>
  <r>
    <n v="2017"/>
    <n v="9"/>
    <s v="September"/>
    <x v="5"/>
    <n v="8910.3699799999995"/>
    <n v="61"/>
    <n v="146.07"/>
    <n v="4.2459009999999999"/>
    <n v="1"/>
    <n v="1.64"/>
    <s v="Fix"/>
    <s v="Sep-2017"/>
    <x v="11"/>
  </r>
  <r>
    <n v="2017"/>
    <n v="9"/>
    <s v="September"/>
    <x v="19"/>
    <n v="8534.9199599999993"/>
    <n v="62"/>
    <n v="137.66"/>
    <n v="4.3225800000000003"/>
    <n v="0"/>
    <n v="0"/>
    <s v="Fix"/>
    <s v="Sep-2017"/>
    <x v="11"/>
  </r>
  <r>
    <n v="2017"/>
    <n v="9"/>
    <s v="September"/>
    <x v="35"/>
    <n v="6130.4100159999998"/>
    <n v="71"/>
    <n v="86.34"/>
    <n v="4.1549290000000001"/>
    <n v="1"/>
    <n v="1.41"/>
    <s v="Fix"/>
    <s v="Sep-2017"/>
    <x v="11"/>
  </r>
  <r>
    <n v="2017"/>
    <n v="9"/>
    <s v="September"/>
    <x v="28"/>
    <n v="5904.1399899999997"/>
    <n v="62"/>
    <n v="95.23"/>
    <s v="NULL"/>
    <s v="NULL"/>
    <s v="NULL"/>
    <s v="Fix"/>
    <s v="Sep-2017"/>
    <x v="11"/>
  </r>
  <r>
    <n v="2017"/>
    <n v="9"/>
    <s v="September"/>
    <x v="52"/>
    <n v="4592.3400039999997"/>
    <n v="26"/>
    <n v="176.63"/>
    <n v="4.3846150000000002"/>
    <n v="0"/>
    <n v="0"/>
    <s v="Fix"/>
    <s v="Sep-2017"/>
    <x v="11"/>
  </r>
  <r>
    <n v="2017"/>
    <n v="9"/>
    <s v="September"/>
    <x v="13"/>
    <n v="4338.959957"/>
    <n v="65"/>
    <n v="66.75"/>
    <n v="4.15625"/>
    <n v="0"/>
    <n v="0"/>
    <s v="Fix"/>
    <s v="Sep-2017"/>
    <x v="11"/>
  </r>
  <r>
    <n v="2017"/>
    <n v="9"/>
    <s v="September"/>
    <x v="37"/>
    <n v="3885.379993"/>
    <n v="41"/>
    <n v="94.77"/>
    <n v="4.560975"/>
    <n v="0"/>
    <n v="0"/>
    <s v="Fix"/>
    <s v="Sep-2017"/>
    <x v="11"/>
  </r>
  <r>
    <n v="2017"/>
    <n v="9"/>
    <s v="September"/>
    <x v="45"/>
    <n v="1993.98999"/>
    <n v="3"/>
    <n v="664.66"/>
    <n v="3"/>
    <n v="0"/>
    <n v="0"/>
    <s v="Fix"/>
    <s v="Sep-2017"/>
    <x v="11"/>
  </r>
  <r>
    <n v="2017"/>
    <n v="9"/>
    <s v="September"/>
    <x v="49"/>
    <n v="1820.1900009999999"/>
    <n v="10"/>
    <n v="182.02"/>
    <n v="4.4000000000000004"/>
    <n v="0"/>
    <n v="0"/>
    <s v="Fix"/>
    <s v="Sep-2017"/>
    <x v="11"/>
  </r>
  <r>
    <n v="2017"/>
    <n v="9"/>
    <s v="September"/>
    <x v="41"/>
    <n v="1789.70002"/>
    <n v="16"/>
    <n v="111.86"/>
    <n v="4.125"/>
    <n v="0"/>
    <n v="0"/>
    <s v="Fix"/>
    <s v="Sep-2017"/>
    <x v="11"/>
  </r>
  <r>
    <n v="2017"/>
    <n v="9"/>
    <s v="September"/>
    <x v="9"/>
    <n v="1731.04998"/>
    <n v="8"/>
    <n v="216.38"/>
    <n v="4"/>
    <n v="1"/>
    <n v="12.5"/>
    <s v="Fix"/>
    <s v="Sep-2017"/>
    <x v="11"/>
  </r>
  <r>
    <n v="2017"/>
    <n v="9"/>
    <s v="September"/>
    <x v="33"/>
    <n v="1627.799988"/>
    <n v="6"/>
    <n v="271.3"/>
    <n v="4.6666660000000002"/>
    <n v="0"/>
    <n v="0"/>
    <s v="Fix"/>
    <s v="Sep-2017"/>
    <x v="11"/>
  </r>
  <r>
    <n v="2017"/>
    <n v="9"/>
    <s v="September"/>
    <x v="50"/>
    <n v="1357.8099990000001"/>
    <n v="9"/>
    <n v="150.87"/>
    <n v="4"/>
    <n v="0"/>
    <n v="0"/>
    <s v="Fix"/>
    <s v="Sep-2017"/>
    <x v="11"/>
  </r>
  <r>
    <n v="2017"/>
    <n v="9"/>
    <s v="September"/>
    <x v="39"/>
    <n v="1289.1999860000001"/>
    <n v="8"/>
    <n v="161.15"/>
    <n v="4.125"/>
    <n v="0"/>
    <n v="0"/>
    <s v="Fix"/>
    <s v="Sep-2017"/>
    <x v="11"/>
  </r>
  <r>
    <n v="2017"/>
    <n v="9"/>
    <s v="September"/>
    <x v="36"/>
    <n v="1275.870003"/>
    <n v="11"/>
    <n v="115.99"/>
    <n v="4.5454540000000003"/>
    <n v="0"/>
    <n v="0"/>
    <s v="Fix"/>
    <s v="Sep-2017"/>
    <x v="11"/>
  </r>
  <r>
    <n v="2017"/>
    <n v="9"/>
    <s v="September"/>
    <x v="30"/>
    <n v="1179.6000019999999"/>
    <n v="13"/>
    <n v="90.74"/>
    <n v="4.0833329999999997"/>
    <n v="0"/>
    <n v="0"/>
    <s v="Fix"/>
    <s v="Sep-2017"/>
    <x v="11"/>
  </r>
  <r>
    <n v="2017"/>
    <n v="9"/>
    <s v="September"/>
    <x v="31"/>
    <n v="1177.5000150000001"/>
    <n v="10"/>
    <n v="117.75"/>
    <n v="2.5"/>
    <n v="0"/>
    <n v="0"/>
    <s v="Fix"/>
    <s v="Sep-2017"/>
    <x v="11"/>
  </r>
  <r>
    <n v="2017"/>
    <n v="9"/>
    <s v="September"/>
    <x v="14"/>
    <n v="1147.2099929999999"/>
    <n v="11"/>
    <n v="104.29"/>
    <n v="3.818181"/>
    <n v="0"/>
    <n v="0"/>
    <s v="Fix"/>
    <s v="Sep-2017"/>
    <x v="11"/>
  </r>
  <r>
    <n v="2017"/>
    <n v="9"/>
    <s v="September"/>
    <x v="53"/>
    <n v="1124.539984"/>
    <n v="4"/>
    <n v="281.13"/>
    <n v="4"/>
    <n v="0"/>
    <n v="0"/>
    <s v="Fix"/>
    <s v="Sep-2017"/>
    <x v="11"/>
  </r>
  <r>
    <n v="2017"/>
    <n v="9"/>
    <s v="September"/>
    <x v="24"/>
    <n v="1042.5900019999999"/>
    <n v="10"/>
    <n v="104.26"/>
    <n v="4.0999999999999996"/>
    <n v="0"/>
    <n v="0"/>
    <s v="Fix"/>
    <s v="Sep-2017"/>
    <x v="11"/>
  </r>
  <r>
    <n v="2017"/>
    <n v="9"/>
    <s v="September"/>
    <x v="23"/>
    <n v="1001.350006"/>
    <n v="8"/>
    <n v="125.17"/>
    <n v="4.25"/>
    <n v="0"/>
    <n v="0"/>
    <s v="Fix"/>
    <s v="Sep-2017"/>
    <x v="11"/>
  </r>
  <r>
    <n v="2017"/>
    <n v="9"/>
    <s v="September"/>
    <x v="27"/>
    <n v="992.91999239999996"/>
    <n v="13"/>
    <n v="76.38"/>
    <n v="4.5384609999999999"/>
    <n v="0"/>
    <n v="0"/>
    <s v="Fix"/>
    <s v="Sep-2017"/>
    <x v="11"/>
  </r>
  <r>
    <n v="2017"/>
    <n v="9"/>
    <s v="September"/>
    <x v="26"/>
    <n v="965.13999369999999"/>
    <n v="15"/>
    <n v="64.34"/>
    <n v="4"/>
    <n v="0"/>
    <n v="0"/>
    <s v="Fix"/>
    <s v="Sep-2017"/>
    <x v="11"/>
  </r>
  <r>
    <n v="2017"/>
    <n v="9"/>
    <s v="September"/>
    <x v="61"/>
    <n v="916.88999369999999"/>
    <n v="3"/>
    <n v="305.63"/>
    <n v="4.6666660000000002"/>
    <n v="0"/>
    <n v="0"/>
    <s v="Fix"/>
    <s v="Sep-2017"/>
    <x v="11"/>
  </r>
  <r>
    <n v="2017"/>
    <n v="9"/>
    <s v="September"/>
    <x v="43"/>
    <n v="709.5999832"/>
    <n v="3"/>
    <n v="236.53"/>
    <n v="5"/>
    <n v="0"/>
    <n v="0"/>
    <s v="Fix"/>
    <s v="Sep-2017"/>
    <x v="11"/>
  </r>
  <r>
    <n v="2017"/>
    <n v="9"/>
    <s v="September"/>
    <x v="68"/>
    <n v="640.98999019999997"/>
    <n v="1"/>
    <n v="640.99"/>
    <n v="1"/>
    <n v="0"/>
    <n v="0"/>
    <s v="Fix"/>
    <s v="Sep-2017"/>
    <x v="11"/>
  </r>
  <r>
    <n v="2017"/>
    <n v="9"/>
    <s v="September"/>
    <x v="42"/>
    <n v="464.08999249999999"/>
    <n v="5"/>
    <n v="92.82"/>
    <n v="4"/>
    <n v="0"/>
    <n v="0"/>
    <s v="Fix"/>
    <s v="Sep-2017"/>
    <x v="11"/>
  </r>
  <r>
    <n v="2017"/>
    <n v="9"/>
    <s v="September"/>
    <x v="59"/>
    <n v="438.40000149999997"/>
    <n v="5"/>
    <n v="87.68"/>
    <n v="4.4000000000000004"/>
    <n v="0"/>
    <n v="0"/>
    <s v="Fix"/>
    <s v="Sep-2017"/>
    <x v="11"/>
  </r>
  <r>
    <n v="2017"/>
    <n v="9"/>
    <s v="September"/>
    <x v="57"/>
    <n v="388.53999329999999"/>
    <n v="3"/>
    <n v="129.51"/>
    <n v="3.3333330000000001"/>
    <n v="0"/>
    <n v="0"/>
    <s v="Fix"/>
    <s v="Sep-2017"/>
    <x v="11"/>
  </r>
  <r>
    <n v="2017"/>
    <n v="9"/>
    <s v="September"/>
    <x v="60"/>
    <n v="384.60000609999997"/>
    <n v="2"/>
    <n v="192.3"/>
    <n v="4.5"/>
    <n v="0"/>
    <n v="0"/>
    <s v="Fix"/>
    <s v="Sep-2017"/>
    <x v="11"/>
  </r>
  <r>
    <n v="2017"/>
    <n v="9"/>
    <s v="September"/>
    <x v="29"/>
    <n v="355.69999689999997"/>
    <n v="3"/>
    <n v="118.57"/>
    <n v="4"/>
    <n v="0"/>
    <n v="0"/>
    <s v="Fix"/>
    <s v="Sep-2017"/>
    <x v="11"/>
  </r>
  <r>
    <n v="2017"/>
    <n v="9"/>
    <s v="September"/>
    <x v="56"/>
    <n v="327.97000120000001"/>
    <n v="7"/>
    <n v="46.85"/>
    <n v="4"/>
    <n v="1"/>
    <n v="14.29"/>
    <s v="Fix"/>
    <s v="Sep-2017"/>
    <x v="11"/>
  </r>
  <r>
    <n v="2017"/>
    <n v="9"/>
    <s v="September"/>
    <x v="58"/>
    <n v="310.86000630000001"/>
    <n v="6"/>
    <n v="51.81"/>
    <n v="3.5"/>
    <n v="0"/>
    <n v="0"/>
    <s v="Fix"/>
    <s v="Sep-2017"/>
    <x v="11"/>
  </r>
  <r>
    <n v="2017"/>
    <n v="9"/>
    <s v="September"/>
    <x v="51"/>
    <n v="297.5000076"/>
    <n v="5"/>
    <n v="59.5"/>
    <n v="4.2"/>
    <n v="0"/>
    <n v="0"/>
    <s v="Fix"/>
    <s v="Sep-2017"/>
    <x v="11"/>
  </r>
  <r>
    <n v="2017"/>
    <n v="9"/>
    <s v="September"/>
    <x v="54"/>
    <n v="290"/>
    <n v="3"/>
    <n v="96.67"/>
    <n v="5"/>
    <n v="0"/>
    <n v="0"/>
    <s v="Fix"/>
    <s v="Sep-2017"/>
    <x v="11"/>
  </r>
  <r>
    <n v="2017"/>
    <n v="9"/>
    <s v="September"/>
    <x v="71"/>
    <n v="269.7999878"/>
    <n v="1"/>
    <n v="269.8"/>
    <n v="1"/>
    <n v="0"/>
    <n v="0"/>
    <s v="Fix"/>
    <s v="Sep-2017"/>
    <x v="11"/>
  </r>
  <r>
    <n v="2017"/>
    <n v="9"/>
    <s v="September"/>
    <x v="64"/>
    <n v="254.7000046"/>
    <n v="3"/>
    <n v="84.9"/>
    <n v="4.6666660000000002"/>
    <n v="0"/>
    <n v="0"/>
    <s v="Fix"/>
    <s v="Sep-2017"/>
    <x v="11"/>
  </r>
  <r>
    <n v="2017"/>
    <n v="9"/>
    <s v="September"/>
    <x v="48"/>
    <n v="233.9000015"/>
    <n v="3"/>
    <n v="77.97"/>
    <n v="3.6666660000000002"/>
    <n v="0"/>
    <n v="0"/>
    <s v="Fix"/>
    <s v="Sep-2017"/>
    <x v="11"/>
  </r>
  <r>
    <n v="2017"/>
    <n v="9"/>
    <s v="September"/>
    <x v="69"/>
    <n v="229"/>
    <n v="1"/>
    <n v="229"/>
    <n v="1"/>
    <n v="0"/>
    <n v="0"/>
    <s v="Fix"/>
    <s v="Sep-2017"/>
    <x v="11"/>
  </r>
  <r>
    <n v="2017"/>
    <n v="9"/>
    <s v="September"/>
    <x v="22"/>
    <n v="219.97999569999999"/>
    <n v="2"/>
    <n v="109.99"/>
    <n v="5"/>
    <n v="0"/>
    <n v="0"/>
    <s v="Fix"/>
    <s v="Sep-2017"/>
    <x v="11"/>
  </r>
  <r>
    <n v="2017"/>
    <n v="9"/>
    <s v="September"/>
    <x v="40"/>
    <n v="100"/>
    <n v="1"/>
    <n v="100"/>
    <n v="1"/>
    <n v="0"/>
    <n v="0"/>
    <s v="Fix"/>
    <s v="Sep-2017"/>
    <x v="11"/>
  </r>
  <r>
    <n v="2017"/>
    <n v="9"/>
    <s v="September"/>
    <x v="66"/>
    <n v="89.989997860000003"/>
    <n v="1"/>
    <n v="89.99"/>
    <n v="5"/>
    <n v="0"/>
    <n v="0"/>
    <s v="Fix"/>
    <s v="Sep-2017"/>
    <x v="11"/>
  </r>
  <r>
    <n v="2017"/>
    <n v="9"/>
    <s v="September"/>
    <x v="63"/>
    <n v="86.5"/>
    <n v="1"/>
    <n v="86.5"/>
    <n v="5"/>
    <n v="0"/>
    <n v="0"/>
    <s v="Fix"/>
    <s v="Sep-2017"/>
    <x v="11"/>
  </r>
  <r>
    <n v="2017"/>
    <n v="9"/>
    <s v="September"/>
    <x v="55"/>
    <n v="69"/>
    <n v="1"/>
    <n v="69"/>
    <n v="5"/>
    <n v="0"/>
    <n v="0"/>
    <s v="Fix"/>
    <s v="Sep-2017"/>
    <x v="11"/>
  </r>
  <r>
    <n v="2017"/>
    <n v="9"/>
    <s v="September"/>
    <x v="46"/>
    <n v="39.799999239999998"/>
    <n v="2"/>
    <n v="19.899999999999999"/>
    <n v="4.5"/>
    <n v="0"/>
    <n v="0"/>
    <s v="Fix"/>
    <s v="Sep-2017"/>
    <x v="11"/>
  </r>
  <r>
    <n v="2017"/>
    <n v="9"/>
    <s v="September"/>
    <x v="44"/>
    <n v="12.899999619999999"/>
    <n v="1"/>
    <n v="12.9"/>
    <n v="3"/>
    <n v="0"/>
    <n v="0"/>
    <s v="Fix"/>
    <s v="Sep-2017"/>
    <x v="11"/>
  </r>
  <r>
    <n v="2017"/>
    <n v="10"/>
    <s v="October"/>
    <x v="6"/>
    <n v="65959.529670000004"/>
    <n v="287"/>
    <n v="229.82"/>
    <n v="4.1052629999999999"/>
    <n v="1"/>
    <n v="0.35"/>
    <s v="Fix"/>
    <s v="Oct-2017"/>
    <x v="12"/>
  </r>
  <r>
    <n v="2017"/>
    <n v="10"/>
    <s v="October"/>
    <x v="7"/>
    <n v="49751.449890000004"/>
    <n v="424"/>
    <n v="117.34"/>
    <n v="4.2285709999999996"/>
    <n v="1"/>
    <n v="0.24"/>
    <s v="Fix"/>
    <s v="Oct-2017"/>
    <x v="12"/>
  </r>
  <r>
    <n v="2017"/>
    <n v="10"/>
    <s v="October"/>
    <x v="21"/>
    <n v="46198.000079999998"/>
    <n v="445"/>
    <n v="103.82"/>
    <n v="3.9785059999999999"/>
    <n v="0"/>
    <n v="0"/>
    <s v="Fix"/>
    <s v="Oct-2017"/>
    <x v="12"/>
  </r>
  <r>
    <n v="2017"/>
    <n v="10"/>
    <s v="October"/>
    <x v="17"/>
    <n v="44910.010040000001"/>
    <n v="246"/>
    <n v="182.56"/>
    <n v="4.2868849999999998"/>
    <n v="1"/>
    <n v="0.41"/>
    <s v="Fix"/>
    <s v="Oct-2017"/>
    <x v="12"/>
  </r>
  <r>
    <n v="2017"/>
    <n v="10"/>
    <s v="October"/>
    <x v="11"/>
    <n v="44022.089979999997"/>
    <n v="265"/>
    <n v="166.12"/>
    <n v="4.0608360000000001"/>
    <n v="4"/>
    <n v="1.51"/>
    <s v="Fix"/>
    <s v="Oct-2017"/>
    <x v="12"/>
  </r>
  <r>
    <n v="2017"/>
    <n v="10"/>
    <s v="October"/>
    <x v="0"/>
    <n v="41915.72"/>
    <n v="332"/>
    <n v="126.25"/>
    <n v="4.2393929999999997"/>
    <n v="1"/>
    <n v="0.3"/>
    <s v="Fix"/>
    <s v="Oct-2017"/>
    <x v="12"/>
  </r>
  <r>
    <n v="2017"/>
    <n v="10"/>
    <s v="October"/>
    <x v="32"/>
    <n v="40393.91992"/>
    <n v="26"/>
    <n v="1553.61"/>
    <n v="4.24"/>
    <n v="0"/>
    <n v="0"/>
    <s v="Fix"/>
    <s v="Oct-2017"/>
    <x v="12"/>
  </r>
  <r>
    <n v="2017"/>
    <n v="10"/>
    <s v="October"/>
    <x v="4"/>
    <n v="34633.009879999998"/>
    <n v="279"/>
    <n v="124.13"/>
    <n v="4.227436"/>
    <n v="2"/>
    <n v="0.72"/>
    <s v="Fix"/>
    <s v="Oct-2017"/>
    <x v="12"/>
  </r>
  <r>
    <n v="2017"/>
    <n v="10"/>
    <s v="October"/>
    <x v="1"/>
    <n v="30227.510180000001"/>
    <n v="270"/>
    <n v="111.95"/>
    <n v="4.0481480000000003"/>
    <n v="1"/>
    <n v="0.37"/>
    <s v="Fix"/>
    <s v="Oct-2017"/>
    <x v="12"/>
  </r>
  <r>
    <n v="2017"/>
    <n v="10"/>
    <s v="October"/>
    <x v="12"/>
    <n v="25978.74022"/>
    <n v="214"/>
    <n v="121.4"/>
    <n v="4.286384"/>
    <n v="0"/>
    <n v="0"/>
    <s v="Fix"/>
    <s v="Oct-2017"/>
    <x v="12"/>
  </r>
  <r>
    <n v="2017"/>
    <n v="10"/>
    <s v="October"/>
    <x v="2"/>
    <n v="22850.759959999999"/>
    <n v="228"/>
    <n v="100.22"/>
    <n v="4.1288879999999999"/>
    <n v="0"/>
    <n v="0"/>
    <s v="Fix"/>
    <s v="Oct-2017"/>
    <x v="12"/>
  </r>
  <r>
    <n v="2017"/>
    <n v="10"/>
    <s v="October"/>
    <x v="8"/>
    <n v="21505.280009999999"/>
    <n v="132"/>
    <n v="162.91999999999999"/>
    <n v="4.2348480000000004"/>
    <n v="1"/>
    <n v="0.76"/>
    <s v="Fix"/>
    <s v="Oct-2017"/>
    <x v="12"/>
  </r>
  <r>
    <n v="2017"/>
    <n v="10"/>
    <s v="October"/>
    <x v="28"/>
    <n v="18800.479879999999"/>
    <n v="63"/>
    <n v="298.42"/>
    <s v="NULL"/>
    <s v="NULL"/>
    <s v="NULL"/>
    <s v="Fix"/>
    <s v="Oct-2017"/>
    <x v="12"/>
  </r>
  <r>
    <n v="2017"/>
    <n v="10"/>
    <s v="October"/>
    <x v="15"/>
    <n v="17890.830300000001"/>
    <n v="69"/>
    <n v="259.29000000000002"/>
    <n v="3.4477609999999999"/>
    <n v="0"/>
    <n v="0"/>
    <s v="Fix"/>
    <s v="Oct-2017"/>
    <x v="12"/>
  </r>
  <r>
    <n v="2017"/>
    <n v="10"/>
    <s v="October"/>
    <x v="3"/>
    <n v="16984.62"/>
    <n v="177"/>
    <n v="95.96"/>
    <n v="4.3050839999999999"/>
    <n v="1"/>
    <n v="0.56000000000000005"/>
    <s v="Fix"/>
    <s v="Oct-2017"/>
    <x v="12"/>
  </r>
  <r>
    <n v="2017"/>
    <n v="10"/>
    <s v="October"/>
    <x v="10"/>
    <n v="16497.500039999999"/>
    <n v="134"/>
    <n v="123.12"/>
    <n v="4.3863630000000002"/>
    <n v="0"/>
    <n v="0"/>
    <s v="Fix"/>
    <s v="Oct-2017"/>
    <x v="12"/>
  </r>
  <r>
    <n v="2017"/>
    <n v="10"/>
    <s v="October"/>
    <x v="16"/>
    <n v="15996.63004"/>
    <n v="191"/>
    <n v="83.75"/>
    <n v="4.1693119999999997"/>
    <n v="0"/>
    <n v="0"/>
    <s v="Fix"/>
    <s v="Oct-2017"/>
    <x v="12"/>
  </r>
  <r>
    <n v="2017"/>
    <n v="10"/>
    <s v="October"/>
    <x v="5"/>
    <n v="10608.869979999999"/>
    <n v="101"/>
    <n v="105.04"/>
    <n v="4.1089099999999998"/>
    <n v="1"/>
    <n v="0.99"/>
    <s v="Fix"/>
    <s v="Oct-2017"/>
    <x v="12"/>
  </r>
  <r>
    <n v="2017"/>
    <n v="10"/>
    <s v="October"/>
    <x v="35"/>
    <n v="8607.8600129999995"/>
    <n v="93"/>
    <n v="92.56"/>
    <n v="3.9462359999999999"/>
    <n v="1"/>
    <n v="1.08"/>
    <s v="Fix"/>
    <s v="Oct-2017"/>
    <x v="12"/>
  </r>
  <r>
    <n v="2017"/>
    <n v="10"/>
    <s v="October"/>
    <x v="19"/>
    <n v="8243.5799540000007"/>
    <n v="64"/>
    <n v="128.81"/>
    <n v="4.109375"/>
    <n v="0"/>
    <n v="0"/>
    <s v="Fix"/>
    <s v="Oct-2017"/>
    <x v="12"/>
  </r>
  <r>
    <n v="2017"/>
    <n v="10"/>
    <s v="October"/>
    <x v="20"/>
    <n v="7906.0600189999996"/>
    <n v="95"/>
    <n v="83.22"/>
    <n v="4.0842099999999997"/>
    <n v="1"/>
    <n v="1.05"/>
    <s v="Fix"/>
    <s v="Oct-2017"/>
    <x v="12"/>
  </r>
  <r>
    <n v="2017"/>
    <n v="10"/>
    <s v="October"/>
    <x v="38"/>
    <n v="6859.1600129999997"/>
    <n v="22"/>
    <n v="311.77999999999997"/>
    <n v="4.0909089999999999"/>
    <n v="1"/>
    <n v="4.55"/>
    <s v="Fix"/>
    <s v="Oct-2017"/>
    <x v="12"/>
  </r>
  <r>
    <n v="2017"/>
    <n v="10"/>
    <s v="October"/>
    <x v="34"/>
    <n v="6464.849964"/>
    <n v="30"/>
    <n v="215.49"/>
    <n v="4.3928570000000002"/>
    <n v="0"/>
    <n v="0"/>
    <s v="Fix"/>
    <s v="Oct-2017"/>
    <x v="12"/>
  </r>
  <r>
    <n v="2017"/>
    <n v="10"/>
    <s v="October"/>
    <x v="37"/>
    <n v="6240.3399890000001"/>
    <n v="52"/>
    <n v="120.01"/>
    <n v="4.4807689999999996"/>
    <n v="0"/>
    <n v="0"/>
    <s v="Fix"/>
    <s v="Oct-2017"/>
    <x v="12"/>
  </r>
  <r>
    <n v="2017"/>
    <n v="10"/>
    <s v="October"/>
    <x v="50"/>
    <n v="4201.1700330000003"/>
    <n v="15"/>
    <n v="280.08"/>
    <n v="3.8"/>
    <n v="0"/>
    <n v="0"/>
    <s v="Fix"/>
    <s v="Oct-2017"/>
    <x v="12"/>
  </r>
  <r>
    <n v="2017"/>
    <n v="10"/>
    <s v="October"/>
    <x v="18"/>
    <n v="3751.8799819999999"/>
    <n v="6"/>
    <n v="625.30999999999995"/>
    <n v="3.5"/>
    <n v="0"/>
    <n v="0"/>
    <s v="Fix"/>
    <s v="Oct-2017"/>
    <x v="12"/>
  </r>
  <r>
    <n v="2017"/>
    <n v="10"/>
    <s v="October"/>
    <x v="52"/>
    <n v="3619.8000080000002"/>
    <n v="26"/>
    <n v="139.22"/>
    <n v="4.0384609999999999"/>
    <n v="0"/>
    <n v="0"/>
    <s v="Fix"/>
    <s v="Oct-2017"/>
    <x v="12"/>
  </r>
  <r>
    <n v="2017"/>
    <n v="10"/>
    <s v="October"/>
    <x v="13"/>
    <n v="3454.3200019999999"/>
    <n v="56"/>
    <n v="61.68"/>
    <n v="4.0892850000000003"/>
    <n v="0"/>
    <n v="0"/>
    <s v="Fix"/>
    <s v="Oct-2017"/>
    <x v="12"/>
  </r>
  <r>
    <n v="2017"/>
    <n v="10"/>
    <s v="October"/>
    <x v="42"/>
    <n v="3428.5999980000001"/>
    <n v="14"/>
    <n v="244.9"/>
    <n v="3.5384609999999999"/>
    <n v="0"/>
    <n v="0"/>
    <s v="Fix"/>
    <s v="Oct-2017"/>
    <x v="12"/>
  </r>
  <r>
    <n v="2017"/>
    <n v="10"/>
    <s v="October"/>
    <x v="45"/>
    <n v="3350.2799799999998"/>
    <n v="5"/>
    <n v="670.06"/>
    <n v="4.2"/>
    <n v="0"/>
    <n v="0"/>
    <s v="Fix"/>
    <s v="Oct-2017"/>
    <x v="12"/>
  </r>
  <r>
    <n v="2017"/>
    <n v="10"/>
    <s v="October"/>
    <x v="33"/>
    <n v="2803.170036"/>
    <n v="10"/>
    <n v="280.32"/>
    <n v="3.1"/>
    <n v="0"/>
    <n v="0"/>
    <s v="Fix"/>
    <s v="Oct-2017"/>
    <x v="12"/>
  </r>
  <r>
    <n v="2017"/>
    <n v="10"/>
    <s v="October"/>
    <x v="39"/>
    <n v="2576.180014"/>
    <n v="15"/>
    <n v="171.75"/>
    <n v="4.1333330000000004"/>
    <n v="0"/>
    <n v="0"/>
    <s v="Fix"/>
    <s v="Oct-2017"/>
    <x v="12"/>
  </r>
  <r>
    <n v="2017"/>
    <n v="10"/>
    <s v="October"/>
    <x v="9"/>
    <n v="2562.4199829999998"/>
    <n v="9"/>
    <n v="284.70999999999998"/>
    <n v="3.8888880000000001"/>
    <n v="0"/>
    <n v="0"/>
    <s v="Fix"/>
    <s v="Oct-2017"/>
    <x v="12"/>
  </r>
  <r>
    <n v="2017"/>
    <n v="10"/>
    <s v="October"/>
    <x v="24"/>
    <n v="2348.4799790000002"/>
    <n v="32"/>
    <n v="73.39"/>
    <n v="3.5161289999999998"/>
    <n v="1"/>
    <n v="3.13"/>
    <s v="Fix"/>
    <s v="Oct-2017"/>
    <x v="12"/>
  </r>
  <r>
    <n v="2017"/>
    <n v="10"/>
    <s v="October"/>
    <x v="58"/>
    <n v="2297.229977"/>
    <n v="15"/>
    <n v="153.15"/>
    <n v="4.8666660000000004"/>
    <n v="0"/>
    <n v="0"/>
    <s v="Fix"/>
    <s v="Oct-2017"/>
    <x v="12"/>
  </r>
  <r>
    <n v="2017"/>
    <n v="10"/>
    <s v="October"/>
    <x v="22"/>
    <n v="2256.689993"/>
    <n v="5"/>
    <n v="451.34"/>
    <n v="4.8"/>
    <n v="0"/>
    <n v="0"/>
    <s v="Fix"/>
    <s v="Oct-2017"/>
    <x v="12"/>
  </r>
  <r>
    <n v="2017"/>
    <n v="10"/>
    <s v="October"/>
    <x v="49"/>
    <n v="1951.080017"/>
    <n v="8"/>
    <n v="243.89"/>
    <n v="4.375"/>
    <n v="0"/>
    <n v="0"/>
    <s v="Fix"/>
    <s v="Oct-2017"/>
    <x v="12"/>
  </r>
  <r>
    <n v="2017"/>
    <n v="10"/>
    <s v="October"/>
    <x v="30"/>
    <n v="1860.9200040000001"/>
    <n v="16"/>
    <n v="116.31"/>
    <n v="4.1875"/>
    <n v="0"/>
    <n v="0"/>
    <s v="Fix"/>
    <s v="Oct-2017"/>
    <x v="12"/>
  </r>
  <r>
    <n v="2017"/>
    <n v="10"/>
    <s v="October"/>
    <x v="53"/>
    <n v="1668.8499810000001"/>
    <n v="9"/>
    <n v="185.43"/>
    <n v="3.8888880000000001"/>
    <n v="0"/>
    <n v="0"/>
    <s v="Fix"/>
    <s v="Oct-2017"/>
    <x v="12"/>
  </r>
  <r>
    <n v="2017"/>
    <n v="10"/>
    <s v="October"/>
    <x v="36"/>
    <n v="1532.7899930000001"/>
    <n v="13"/>
    <n v="117.91"/>
    <n v="4.461538"/>
    <n v="0"/>
    <n v="0"/>
    <s v="Fix"/>
    <s v="Oct-2017"/>
    <x v="12"/>
  </r>
  <r>
    <n v="2017"/>
    <n v="10"/>
    <s v="October"/>
    <x v="43"/>
    <n v="1193.8999940000001"/>
    <n v="4"/>
    <n v="298.47000000000003"/>
    <n v="4.625"/>
    <n v="0"/>
    <n v="0"/>
    <s v="Fix"/>
    <s v="Oct-2017"/>
    <x v="12"/>
  </r>
  <r>
    <n v="2017"/>
    <n v="10"/>
    <s v="October"/>
    <x v="31"/>
    <n v="1041.799988"/>
    <n v="9"/>
    <n v="115.76"/>
    <n v="4.4444439999999998"/>
    <n v="0"/>
    <n v="0"/>
    <s v="Fix"/>
    <s v="Oct-2017"/>
    <x v="12"/>
  </r>
  <r>
    <n v="2017"/>
    <n v="10"/>
    <s v="October"/>
    <x v="14"/>
    <n v="1019.540018"/>
    <n v="10"/>
    <n v="101.95"/>
    <n v="3.7777769999999999"/>
    <n v="0"/>
    <n v="0"/>
    <s v="Fix"/>
    <s v="Oct-2017"/>
    <x v="12"/>
  </r>
  <r>
    <n v="2017"/>
    <n v="10"/>
    <s v="October"/>
    <x v="61"/>
    <n v="1018.599993"/>
    <n v="5"/>
    <n v="203.72"/>
    <n v="4.5999999999999996"/>
    <n v="0"/>
    <n v="0"/>
    <s v="Fix"/>
    <s v="Oct-2017"/>
    <x v="12"/>
  </r>
  <r>
    <n v="2017"/>
    <n v="10"/>
    <s v="October"/>
    <x v="23"/>
    <n v="880"/>
    <n v="6"/>
    <n v="146.66999999999999"/>
    <n v="4.8333329999999997"/>
    <n v="0"/>
    <n v="0"/>
    <s v="Fix"/>
    <s v="Oct-2017"/>
    <x v="12"/>
  </r>
  <r>
    <n v="2017"/>
    <n v="10"/>
    <s v="October"/>
    <x v="27"/>
    <n v="806.06000329999995"/>
    <n v="12"/>
    <n v="67.17"/>
    <n v="4.7272720000000001"/>
    <n v="0"/>
    <n v="0"/>
    <s v="Fix"/>
    <s v="Oct-2017"/>
    <x v="12"/>
  </r>
  <r>
    <n v="2017"/>
    <n v="10"/>
    <s v="October"/>
    <x v="51"/>
    <n v="746.90000339999995"/>
    <n v="8"/>
    <n v="93.36"/>
    <n v="3.875"/>
    <n v="0"/>
    <n v="0"/>
    <s v="Fix"/>
    <s v="Oct-2017"/>
    <x v="12"/>
  </r>
  <r>
    <n v="2017"/>
    <n v="10"/>
    <s v="October"/>
    <x v="59"/>
    <n v="744"/>
    <n v="7"/>
    <n v="106.29"/>
    <n v="4.1666660000000002"/>
    <n v="0"/>
    <n v="0"/>
    <s v="Fix"/>
    <s v="Oct-2017"/>
    <x v="12"/>
  </r>
  <r>
    <n v="2017"/>
    <n v="10"/>
    <s v="October"/>
    <x v="26"/>
    <n v="734.50000569999997"/>
    <n v="8"/>
    <n v="91.81"/>
    <n v="4.571428"/>
    <n v="0"/>
    <n v="0"/>
    <s v="Fix"/>
    <s v="Oct-2017"/>
    <x v="12"/>
  </r>
  <r>
    <n v="2017"/>
    <n v="10"/>
    <s v="October"/>
    <x v="56"/>
    <n v="596.97999760000005"/>
    <n v="10"/>
    <n v="59.7"/>
    <n v="4.3"/>
    <n v="0"/>
    <n v="0"/>
    <s v="Fix"/>
    <s v="Oct-2017"/>
    <x v="12"/>
  </r>
  <r>
    <n v="2017"/>
    <n v="10"/>
    <s v="October"/>
    <x v="69"/>
    <n v="500"/>
    <n v="2"/>
    <n v="250"/>
    <n v="3.5"/>
    <n v="0"/>
    <n v="0"/>
    <s v="Fix"/>
    <s v="Oct-2017"/>
    <x v="12"/>
  </r>
  <r>
    <n v="2017"/>
    <n v="10"/>
    <s v="October"/>
    <x v="64"/>
    <n v="388.05000690000003"/>
    <n v="7"/>
    <n v="55.44"/>
    <n v="4.2857139999999996"/>
    <n v="0"/>
    <n v="0"/>
    <s v="Fix"/>
    <s v="Oct-2017"/>
    <x v="12"/>
  </r>
  <r>
    <n v="2017"/>
    <n v="10"/>
    <s v="October"/>
    <x v="57"/>
    <n v="349.05000310000003"/>
    <n v="3"/>
    <n v="116.35"/>
    <n v="4.6666660000000002"/>
    <n v="0"/>
    <n v="0"/>
    <s v="Fix"/>
    <s v="Oct-2017"/>
    <x v="12"/>
  </r>
  <r>
    <n v="2017"/>
    <n v="10"/>
    <s v="October"/>
    <x v="46"/>
    <n v="194.5"/>
    <n v="5"/>
    <n v="38.9"/>
    <n v="4.2"/>
    <n v="1"/>
    <n v="20"/>
    <s v="Fix"/>
    <s v="Oct-2017"/>
    <x v="12"/>
  </r>
  <r>
    <n v="2017"/>
    <n v="10"/>
    <s v="October"/>
    <x v="41"/>
    <n v="187.8000011"/>
    <n v="3"/>
    <n v="62.6"/>
    <n v="4.6666660000000002"/>
    <n v="0"/>
    <n v="0"/>
    <s v="Fix"/>
    <s v="Oct-2017"/>
    <x v="12"/>
  </r>
  <r>
    <n v="2017"/>
    <n v="10"/>
    <s v="October"/>
    <x v="71"/>
    <n v="137.8000031"/>
    <n v="2"/>
    <n v="68.900000000000006"/>
    <n v="4.5"/>
    <n v="0"/>
    <n v="0"/>
    <s v="Fix"/>
    <s v="Oct-2017"/>
    <x v="12"/>
  </r>
  <r>
    <n v="2017"/>
    <n v="10"/>
    <s v="October"/>
    <x v="65"/>
    <n v="137"/>
    <n v="1"/>
    <n v="137"/>
    <n v="5"/>
    <n v="0"/>
    <n v="0"/>
    <s v="Fix"/>
    <s v="Oct-2017"/>
    <x v="12"/>
  </r>
  <r>
    <n v="2017"/>
    <n v="10"/>
    <s v="October"/>
    <x v="48"/>
    <n v="99"/>
    <n v="1"/>
    <n v="99"/>
    <n v="4"/>
    <n v="0"/>
    <n v="0"/>
    <s v="Fix"/>
    <s v="Oct-2017"/>
    <x v="12"/>
  </r>
  <r>
    <n v="2017"/>
    <n v="10"/>
    <s v="October"/>
    <x v="55"/>
    <n v="69"/>
    <n v="1"/>
    <n v="69"/>
    <n v="3"/>
    <n v="0"/>
    <n v="0"/>
    <s v="Fix"/>
    <s v="Oct-2017"/>
    <x v="12"/>
  </r>
  <r>
    <n v="2017"/>
    <n v="10"/>
    <s v="October"/>
    <x v="44"/>
    <n v="64.499998090000005"/>
    <n v="3"/>
    <n v="21.5"/>
    <n v="5"/>
    <n v="0"/>
    <n v="0"/>
    <s v="Fix"/>
    <s v="Oct-2017"/>
    <x v="12"/>
  </r>
  <r>
    <n v="2017"/>
    <n v="10"/>
    <s v="October"/>
    <x v="60"/>
    <n v="59.900001529999997"/>
    <n v="1"/>
    <n v="59.9"/>
    <n v="5"/>
    <n v="0"/>
    <n v="0"/>
    <s v="Fix"/>
    <s v="Oct-2017"/>
    <x v="12"/>
  </r>
  <r>
    <n v="2017"/>
    <n v="10"/>
    <s v="October"/>
    <x v="47"/>
    <n v="54.900001529999997"/>
    <n v="1"/>
    <n v="54.9"/>
    <n v="5"/>
    <n v="0"/>
    <n v="0"/>
    <s v="Fix"/>
    <s v="Oct-2017"/>
    <x v="12"/>
  </r>
  <r>
    <n v="2017"/>
    <n v="10"/>
    <s v="October"/>
    <x v="70"/>
    <n v="45"/>
    <n v="1"/>
    <n v="45"/>
    <n v="5"/>
    <n v="0"/>
    <n v="0"/>
    <s v="Fix"/>
    <s v="Oct-2017"/>
    <x v="12"/>
  </r>
  <r>
    <n v="2017"/>
    <n v="10"/>
    <s v="October"/>
    <x v="66"/>
    <n v="39.990001679999999"/>
    <n v="1"/>
    <n v="39.99"/>
    <n v="5"/>
    <n v="0"/>
    <n v="0"/>
    <s v="Fix"/>
    <s v="Oct-2017"/>
    <x v="12"/>
  </r>
  <r>
    <n v="2017"/>
    <n v="11"/>
    <s v="November"/>
    <x v="6"/>
    <n v="97724.569820000004"/>
    <n v="430"/>
    <n v="227.27"/>
    <n v="3.9882070000000001"/>
    <n v="2"/>
    <n v="0.47"/>
    <s v="Fix"/>
    <s v="Nov-2017"/>
    <x v="13"/>
  </r>
  <r>
    <n v="2017"/>
    <n v="11"/>
    <s v="November"/>
    <x v="21"/>
    <n v="89412.540110000002"/>
    <n v="817"/>
    <n v="109.44"/>
    <n v="3.6524160000000001"/>
    <n v="2"/>
    <n v="0.24"/>
    <s v="Fix"/>
    <s v="Nov-2017"/>
    <x v="13"/>
  </r>
  <r>
    <n v="2017"/>
    <n v="11"/>
    <s v="November"/>
    <x v="0"/>
    <n v="79120.400099999999"/>
    <n v="530"/>
    <n v="149.28"/>
    <n v="4.1280830000000002"/>
    <n v="1"/>
    <n v="0.19"/>
    <s v="Fix"/>
    <s v="Nov-2017"/>
    <x v="13"/>
  </r>
  <r>
    <n v="2017"/>
    <n v="11"/>
    <s v="November"/>
    <x v="11"/>
    <n v="72656.000029999996"/>
    <n v="444"/>
    <n v="163.63999999999999"/>
    <n v="3.9242080000000001"/>
    <n v="2"/>
    <n v="0.45"/>
    <s v="Fix"/>
    <s v="Nov-2017"/>
    <x v="13"/>
  </r>
  <r>
    <n v="2017"/>
    <n v="11"/>
    <s v="November"/>
    <x v="7"/>
    <n v="64874.05"/>
    <n v="557"/>
    <n v="116.47"/>
    <n v="4.1796730000000002"/>
    <n v="3"/>
    <n v="0.54"/>
    <s v="Fix"/>
    <s v="Nov-2017"/>
    <x v="13"/>
  </r>
  <r>
    <n v="2017"/>
    <n v="11"/>
    <s v="November"/>
    <x v="4"/>
    <n v="64320.890010000003"/>
    <n v="452"/>
    <n v="142.30000000000001"/>
    <n v="4.0658479999999999"/>
    <n v="2"/>
    <n v="0.44"/>
    <s v="Fix"/>
    <s v="Nov-2017"/>
    <x v="13"/>
  </r>
  <r>
    <n v="2017"/>
    <n v="11"/>
    <s v="November"/>
    <x v="1"/>
    <n v="63223.970359999999"/>
    <n v="547"/>
    <n v="115.58"/>
    <n v="3.6992609999999999"/>
    <n v="1"/>
    <n v="0.18"/>
    <s v="Fix"/>
    <s v="Nov-2017"/>
    <x v="13"/>
  </r>
  <r>
    <n v="2017"/>
    <n v="11"/>
    <s v="November"/>
    <x v="17"/>
    <n v="56295.240510000003"/>
    <n v="291"/>
    <n v="193.45"/>
    <n v="4.0836230000000002"/>
    <n v="1"/>
    <n v="0.34"/>
    <s v="Fix"/>
    <s v="Nov-2017"/>
    <x v="13"/>
  </r>
  <r>
    <n v="2017"/>
    <n v="11"/>
    <s v="November"/>
    <x v="12"/>
    <n v="45972.180209999999"/>
    <n v="433"/>
    <n v="106.17"/>
    <n v="3.961627"/>
    <n v="1"/>
    <n v="0.23"/>
    <s v="Fix"/>
    <s v="Nov-2017"/>
    <x v="13"/>
  </r>
  <r>
    <n v="2017"/>
    <n v="11"/>
    <s v="November"/>
    <x v="8"/>
    <n v="34955.380120000002"/>
    <n v="245"/>
    <n v="142.68"/>
    <n v="4.0102880000000001"/>
    <n v="0"/>
    <n v="0"/>
    <s v="Fix"/>
    <s v="Nov-2017"/>
    <x v="13"/>
  </r>
  <r>
    <n v="2017"/>
    <n v="11"/>
    <s v="November"/>
    <x v="16"/>
    <n v="34855.320119999997"/>
    <n v="353"/>
    <n v="98.74"/>
    <n v="4.0028569999999997"/>
    <n v="2"/>
    <n v="0.56999999999999995"/>
    <s v="Fix"/>
    <s v="Nov-2017"/>
    <x v="13"/>
  </r>
  <r>
    <n v="2017"/>
    <n v="11"/>
    <s v="November"/>
    <x v="3"/>
    <n v="31831.809959999999"/>
    <n v="293"/>
    <n v="108.64"/>
    <n v="4.0204769999999996"/>
    <n v="0"/>
    <n v="0"/>
    <s v="Fix"/>
    <s v="Nov-2017"/>
    <x v="13"/>
  </r>
  <r>
    <n v="2017"/>
    <n v="11"/>
    <s v="November"/>
    <x v="2"/>
    <n v="26564.87976"/>
    <n v="351"/>
    <n v="75.680000000000007"/>
    <n v="3.8080219999999998"/>
    <n v="0"/>
    <n v="0"/>
    <s v="Fix"/>
    <s v="Nov-2017"/>
    <x v="13"/>
  </r>
  <r>
    <n v="2017"/>
    <n v="11"/>
    <s v="November"/>
    <x v="10"/>
    <n v="21738.780050000001"/>
    <n v="190"/>
    <n v="114.41"/>
    <n v="3.8359779999999999"/>
    <n v="1"/>
    <n v="0.53"/>
    <s v="Fix"/>
    <s v="Nov-2017"/>
    <x v="13"/>
  </r>
  <r>
    <n v="2017"/>
    <n v="11"/>
    <s v="November"/>
    <x v="15"/>
    <n v="18048.200209999999"/>
    <n v="76"/>
    <n v="237.48"/>
    <n v="3.0657890000000001"/>
    <n v="0"/>
    <n v="0"/>
    <s v="Fix"/>
    <s v="Nov-2017"/>
    <x v="13"/>
  </r>
  <r>
    <n v="2017"/>
    <n v="11"/>
    <s v="November"/>
    <x v="35"/>
    <n v="16699.089909999999"/>
    <n v="152"/>
    <n v="109.86"/>
    <n v="4.3112579999999996"/>
    <n v="0"/>
    <n v="0"/>
    <s v="Fix"/>
    <s v="Nov-2017"/>
    <x v="13"/>
  </r>
  <r>
    <n v="2017"/>
    <n v="11"/>
    <s v="November"/>
    <x v="38"/>
    <n v="16509.900010000001"/>
    <n v="44"/>
    <n v="375.23"/>
    <n v="3.954545"/>
    <n v="2"/>
    <n v="4.55"/>
    <s v="Fix"/>
    <s v="Nov-2017"/>
    <x v="13"/>
  </r>
  <r>
    <n v="2017"/>
    <n v="11"/>
    <s v="November"/>
    <x v="28"/>
    <n v="14115.979960000001"/>
    <n v="115"/>
    <n v="122.75"/>
    <s v="NULL"/>
    <s v="NULL"/>
    <s v="NULL"/>
    <s v="Fix"/>
    <s v="Nov-2017"/>
    <x v="13"/>
  </r>
  <r>
    <n v="2017"/>
    <n v="11"/>
    <s v="November"/>
    <x v="45"/>
    <n v="13932.48985"/>
    <n v="13"/>
    <n v="1071.73"/>
    <n v="3.3846150000000002"/>
    <n v="0"/>
    <n v="0"/>
    <s v="Fix"/>
    <s v="Nov-2017"/>
    <x v="13"/>
  </r>
  <r>
    <n v="2017"/>
    <n v="11"/>
    <s v="November"/>
    <x v="20"/>
    <n v="13414.89004"/>
    <n v="185"/>
    <n v="72.510000000000005"/>
    <n v="3.643243"/>
    <n v="1"/>
    <n v="0.54"/>
    <s v="Fix"/>
    <s v="Nov-2017"/>
    <x v="13"/>
  </r>
  <r>
    <n v="2017"/>
    <n v="11"/>
    <s v="November"/>
    <x v="5"/>
    <n v="12608.87997"/>
    <n v="129"/>
    <n v="97.74"/>
    <n v="4.0620149999999997"/>
    <n v="1"/>
    <n v="0.78"/>
    <s v="Fix"/>
    <s v="Nov-2017"/>
    <x v="13"/>
  </r>
  <r>
    <n v="2017"/>
    <n v="11"/>
    <s v="November"/>
    <x v="19"/>
    <n v="11325.680039999999"/>
    <n v="84"/>
    <n v="134.83000000000001"/>
    <n v="4.253012"/>
    <n v="1"/>
    <n v="1.19"/>
    <s v="Fix"/>
    <s v="Nov-2017"/>
    <x v="13"/>
  </r>
  <r>
    <n v="2017"/>
    <n v="11"/>
    <s v="November"/>
    <x v="13"/>
    <n v="10026.139950000001"/>
    <n v="165"/>
    <n v="60.76"/>
    <n v="4.0363629999999997"/>
    <n v="0"/>
    <n v="0"/>
    <s v="Fix"/>
    <s v="Nov-2017"/>
    <x v="13"/>
  </r>
  <r>
    <n v="2017"/>
    <n v="11"/>
    <s v="November"/>
    <x v="32"/>
    <n v="9768"/>
    <n v="7"/>
    <n v="1395.43"/>
    <n v="4.2857139999999996"/>
    <n v="0"/>
    <n v="0"/>
    <s v="Fix"/>
    <s v="Nov-2017"/>
    <x v="13"/>
  </r>
  <r>
    <n v="2017"/>
    <n v="11"/>
    <s v="November"/>
    <x v="37"/>
    <n v="8538.9499909999995"/>
    <n v="65"/>
    <n v="131.37"/>
    <n v="4.2153840000000002"/>
    <n v="1"/>
    <n v="1.54"/>
    <s v="Fix"/>
    <s v="Nov-2017"/>
    <x v="13"/>
  </r>
  <r>
    <n v="2017"/>
    <n v="11"/>
    <s v="November"/>
    <x v="34"/>
    <n v="7826.8199770000001"/>
    <n v="30"/>
    <n v="260.89"/>
    <n v="3.9"/>
    <n v="1"/>
    <n v="3.33"/>
    <s v="Fix"/>
    <s v="Nov-2017"/>
    <x v="13"/>
  </r>
  <r>
    <n v="2017"/>
    <n v="11"/>
    <s v="November"/>
    <x v="39"/>
    <n v="6993.5600260000001"/>
    <n v="36"/>
    <n v="194.27"/>
    <n v="4.1428570000000002"/>
    <n v="0"/>
    <n v="0"/>
    <s v="Fix"/>
    <s v="Nov-2017"/>
    <x v="13"/>
  </r>
  <r>
    <n v="2017"/>
    <n v="11"/>
    <s v="November"/>
    <x v="36"/>
    <n v="6212.9500850000004"/>
    <n v="29"/>
    <n v="214.24"/>
    <n v="4.1071419999999996"/>
    <n v="0"/>
    <n v="0"/>
    <s v="Fix"/>
    <s v="Nov-2017"/>
    <x v="13"/>
  </r>
  <r>
    <n v="2017"/>
    <n v="11"/>
    <s v="November"/>
    <x v="52"/>
    <n v="5355.3900599999997"/>
    <n v="40"/>
    <n v="133.88"/>
    <n v="3.2749999999999999"/>
    <n v="0"/>
    <n v="0"/>
    <s v="Fix"/>
    <s v="Nov-2017"/>
    <x v="13"/>
  </r>
  <r>
    <n v="2017"/>
    <n v="11"/>
    <s v="November"/>
    <x v="42"/>
    <n v="5007.3899920000003"/>
    <n v="28"/>
    <n v="178.84"/>
    <n v="4.0357139999999996"/>
    <n v="0"/>
    <n v="0"/>
    <s v="Fix"/>
    <s v="Nov-2017"/>
    <x v="13"/>
  </r>
  <r>
    <n v="2017"/>
    <n v="11"/>
    <s v="November"/>
    <x v="50"/>
    <n v="4936.7199989999999"/>
    <n v="33"/>
    <n v="149.6"/>
    <n v="3.90625"/>
    <n v="0"/>
    <n v="0"/>
    <s v="Fix"/>
    <s v="Nov-2017"/>
    <x v="13"/>
  </r>
  <r>
    <n v="2017"/>
    <n v="11"/>
    <s v="November"/>
    <x v="33"/>
    <n v="4854.9300800000001"/>
    <n v="13"/>
    <n v="373.46"/>
    <n v="3.5384609999999999"/>
    <n v="0"/>
    <n v="0"/>
    <s v="Fix"/>
    <s v="Nov-2017"/>
    <x v="13"/>
  </r>
  <r>
    <n v="2017"/>
    <n v="11"/>
    <s v="November"/>
    <x v="49"/>
    <n v="4515.9400079999996"/>
    <n v="25"/>
    <n v="180.64"/>
    <n v="3.8"/>
    <n v="0"/>
    <n v="0"/>
    <s v="Fix"/>
    <s v="Nov-2017"/>
    <x v="13"/>
  </r>
  <r>
    <n v="2017"/>
    <n v="11"/>
    <s v="November"/>
    <x v="9"/>
    <n v="4076.619995"/>
    <n v="16"/>
    <n v="254.79"/>
    <n v="3.9333330000000002"/>
    <n v="0"/>
    <n v="0"/>
    <s v="Fix"/>
    <s v="Nov-2017"/>
    <x v="13"/>
  </r>
  <r>
    <n v="2017"/>
    <n v="11"/>
    <s v="November"/>
    <x v="24"/>
    <n v="3677.2299290000001"/>
    <n v="33"/>
    <n v="111.43"/>
    <n v="3.6060599999999998"/>
    <n v="0"/>
    <n v="0"/>
    <s v="Fix"/>
    <s v="Nov-2017"/>
    <x v="13"/>
  </r>
  <r>
    <n v="2017"/>
    <n v="11"/>
    <s v="November"/>
    <x v="53"/>
    <n v="3318.5899490000002"/>
    <n v="13"/>
    <n v="255.28"/>
    <n v="4.1538459999999997"/>
    <n v="0"/>
    <n v="0"/>
    <s v="Fix"/>
    <s v="Nov-2017"/>
    <x v="13"/>
  </r>
  <r>
    <n v="2017"/>
    <n v="11"/>
    <s v="November"/>
    <x v="26"/>
    <n v="2664.9600070000001"/>
    <n v="38"/>
    <n v="70.13"/>
    <n v="4.1621620000000004"/>
    <n v="1"/>
    <n v="2.63"/>
    <s v="Fix"/>
    <s v="Nov-2017"/>
    <x v="13"/>
  </r>
  <r>
    <n v="2017"/>
    <n v="11"/>
    <s v="November"/>
    <x v="58"/>
    <n v="2445.5700069999998"/>
    <n v="28"/>
    <n v="87.34"/>
    <n v="3.9285709999999998"/>
    <n v="0"/>
    <n v="0"/>
    <s v="Fix"/>
    <s v="Nov-2017"/>
    <x v="13"/>
  </r>
  <r>
    <n v="2017"/>
    <n v="11"/>
    <s v="November"/>
    <x v="69"/>
    <n v="2199.48"/>
    <n v="9"/>
    <n v="244.39"/>
    <n v="3.6666660000000002"/>
    <n v="0"/>
    <n v="0"/>
    <s v="Fix"/>
    <s v="Nov-2017"/>
    <x v="13"/>
  </r>
  <r>
    <n v="2017"/>
    <n v="11"/>
    <s v="November"/>
    <x v="22"/>
    <n v="2074.7699929999999"/>
    <n v="7"/>
    <n v="296.39999999999998"/>
    <n v="4"/>
    <n v="0"/>
    <n v="0"/>
    <s v="Fix"/>
    <s v="Nov-2017"/>
    <x v="13"/>
  </r>
  <r>
    <n v="2017"/>
    <n v="11"/>
    <s v="November"/>
    <x v="30"/>
    <n v="1777.700008"/>
    <n v="18"/>
    <n v="98.76"/>
    <n v="4.1176469999999998"/>
    <n v="1"/>
    <n v="5.56"/>
    <s v="Fix"/>
    <s v="Nov-2017"/>
    <x v="13"/>
  </r>
  <r>
    <n v="2017"/>
    <n v="11"/>
    <s v="November"/>
    <x v="14"/>
    <n v="1355.9800049999999"/>
    <n v="11"/>
    <n v="123.27"/>
    <n v="4.4545450000000004"/>
    <n v="0"/>
    <n v="0"/>
    <s v="Fix"/>
    <s v="Nov-2017"/>
    <x v="13"/>
  </r>
  <r>
    <n v="2017"/>
    <n v="11"/>
    <s v="November"/>
    <x v="64"/>
    <n v="1340.5799930000001"/>
    <n v="20"/>
    <n v="67.03"/>
    <n v="3.5"/>
    <n v="1"/>
    <n v="5"/>
    <s v="Fix"/>
    <s v="Nov-2017"/>
    <x v="13"/>
  </r>
  <r>
    <n v="2017"/>
    <n v="11"/>
    <s v="November"/>
    <x v="41"/>
    <n v="1221.6000059999999"/>
    <n v="10"/>
    <n v="122.16"/>
    <n v="3.2"/>
    <n v="0"/>
    <n v="0"/>
    <s v="Fix"/>
    <s v="Nov-2017"/>
    <x v="13"/>
  </r>
  <r>
    <n v="2017"/>
    <n v="11"/>
    <s v="November"/>
    <x v="51"/>
    <n v="1218.500004"/>
    <n v="14"/>
    <n v="87.04"/>
    <n v="3.8571420000000001"/>
    <n v="0"/>
    <n v="0"/>
    <s v="Fix"/>
    <s v="Nov-2017"/>
    <x v="13"/>
  </r>
  <r>
    <n v="2017"/>
    <n v="11"/>
    <s v="November"/>
    <x v="18"/>
    <n v="943.97999000000004"/>
    <n v="5"/>
    <n v="188.8"/>
    <n v="4"/>
    <n v="0"/>
    <n v="0"/>
    <s v="Fix"/>
    <s v="Nov-2017"/>
    <x v="13"/>
  </r>
  <r>
    <n v="2017"/>
    <n v="11"/>
    <s v="November"/>
    <x v="31"/>
    <n v="929.98998830000005"/>
    <n v="11"/>
    <n v="84.54"/>
    <n v="3.3636360000000001"/>
    <n v="1"/>
    <n v="9.09"/>
    <s v="Fix"/>
    <s v="Nov-2017"/>
    <x v="13"/>
  </r>
  <r>
    <n v="2017"/>
    <n v="11"/>
    <s v="November"/>
    <x v="43"/>
    <n v="873"/>
    <n v="3"/>
    <n v="291"/>
    <n v="3.3333330000000001"/>
    <n v="0"/>
    <n v="0"/>
    <s v="Fix"/>
    <s v="Nov-2017"/>
    <x v="13"/>
  </r>
  <r>
    <n v="2017"/>
    <n v="11"/>
    <s v="November"/>
    <x v="71"/>
    <n v="870.6900177"/>
    <n v="4"/>
    <n v="217.67"/>
    <n v="3.75"/>
    <n v="0"/>
    <n v="0"/>
    <s v="Fix"/>
    <s v="Nov-2017"/>
    <x v="13"/>
  </r>
  <r>
    <n v="2017"/>
    <n v="11"/>
    <s v="November"/>
    <x v="23"/>
    <n v="768.90000150000003"/>
    <n v="5"/>
    <n v="153.78"/>
    <n v="4.2"/>
    <n v="0"/>
    <n v="0"/>
    <s v="Fix"/>
    <s v="Nov-2017"/>
    <x v="13"/>
  </r>
  <r>
    <n v="2017"/>
    <n v="11"/>
    <s v="November"/>
    <x v="56"/>
    <n v="748.60999679999998"/>
    <n v="15"/>
    <n v="49.91"/>
    <n v="3.9333330000000002"/>
    <n v="0"/>
    <n v="0"/>
    <s v="Fix"/>
    <s v="Nov-2017"/>
    <x v="13"/>
  </r>
  <r>
    <n v="2017"/>
    <n v="11"/>
    <s v="November"/>
    <x v="59"/>
    <n v="596.7900009"/>
    <n v="3"/>
    <n v="198.93"/>
    <n v="1"/>
    <n v="0"/>
    <n v="0"/>
    <s v="Fix"/>
    <s v="Nov-2017"/>
    <x v="13"/>
  </r>
  <r>
    <n v="2017"/>
    <n v="11"/>
    <s v="November"/>
    <x v="27"/>
    <n v="556.95000460000006"/>
    <n v="11"/>
    <n v="50.63"/>
    <n v="4.3"/>
    <n v="0"/>
    <n v="0"/>
    <s v="Fix"/>
    <s v="Nov-2017"/>
    <x v="13"/>
  </r>
  <r>
    <n v="2017"/>
    <n v="11"/>
    <s v="November"/>
    <x v="48"/>
    <n v="350.4000072"/>
    <n v="6"/>
    <n v="58.4"/>
    <n v="4"/>
    <n v="0"/>
    <n v="0"/>
    <s v="Fix"/>
    <s v="Nov-2017"/>
    <x v="13"/>
  </r>
  <r>
    <n v="2017"/>
    <n v="11"/>
    <s v="November"/>
    <x v="63"/>
    <n v="334"/>
    <n v="2"/>
    <n v="167"/>
    <n v="3"/>
    <n v="0"/>
    <n v="0"/>
    <s v="Fix"/>
    <s v="Nov-2017"/>
    <x v="13"/>
  </r>
  <r>
    <n v="2017"/>
    <n v="11"/>
    <s v="November"/>
    <x v="54"/>
    <n v="324"/>
    <n v="3"/>
    <n v="108"/>
    <n v="5"/>
    <n v="0"/>
    <n v="0"/>
    <s v="Fix"/>
    <s v="Nov-2017"/>
    <x v="13"/>
  </r>
  <r>
    <n v="2017"/>
    <n v="11"/>
    <s v="November"/>
    <x v="61"/>
    <n v="269.4999924"/>
    <n v="4"/>
    <n v="67.37"/>
    <n v="4"/>
    <n v="0"/>
    <n v="0"/>
    <s v="Fix"/>
    <s v="Nov-2017"/>
    <x v="13"/>
  </r>
  <r>
    <n v="2017"/>
    <n v="11"/>
    <s v="November"/>
    <x v="55"/>
    <n v="242"/>
    <n v="1"/>
    <n v="242"/>
    <n v="1"/>
    <n v="0"/>
    <n v="0"/>
    <s v="Fix"/>
    <s v="Nov-2017"/>
    <x v="13"/>
  </r>
  <r>
    <n v="2017"/>
    <n v="11"/>
    <s v="November"/>
    <x v="70"/>
    <n v="195"/>
    <n v="3"/>
    <n v="65"/>
    <n v="5"/>
    <n v="0"/>
    <n v="0"/>
    <s v="Fix"/>
    <s v="Nov-2017"/>
    <x v="13"/>
  </r>
  <r>
    <n v="2017"/>
    <n v="11"/>
    <s v="November"/>
    <x v="72"/>
    <n v="187.8000011"/>
    <n v="6"/>
    <n v="31.3"/>
    <n v="4.3333329999999997"/>
    <n v="0"/>
    <n v="0"/>
    <s v="Fix"/>
    <s v="Nov-2017"/>
    <x v="13"/>
  </r>
  <r>
    <n v="2017"/>
    <n v="11"/>
    <s v="November"/>
    <x v="65"/>
    <n v="137"/>
    <n v="1"/>
    <n v="137"/>
    <s v="NULL"/>
    <n v="0"/>
    <n v="0"/>
    <s v="Fix"/>
    <s v="Nov-2017"/>
    <x v="13"/>
  </r>
  <r>
    <n v="2017"/>
    <n v="11"/>
    <s v="November"/>
    <x v="29"/>
    <n v="79.879999159999997"/>
    <n v="3"/>
    <n v="26.63"/>
    <n v="2.5"/>
    <n v="0"/>
    <n v="0"/>
    <s v="Fix"/>
    <s v="Nov-2017"/>
    <x v="13"/>
  </r>
  <r>
    <n v="2017"/>
    <n v="11"/>
    <s v="November"/>
    <x v="46"/>
    <n v="79.790000919999997"/>
    <n v="3"/>
    <n v="26.6"/>
    <n v="3.6666660000000002"/>
    <n v="0"/>
    <n v="0"/>
    <s v="Fix"/>
    <s v="Nov-2017"/>
    <x v="13"/>
  </r>
  <r>
    <n v="2017"/>
    <n v="11"/>
    <s v="November"/>
    <x v="57"/>
    <n v="75"/>
    <n v="1"/>
    <n v="75"/>
    <n v="5"/>
    <n v="0"/>
    <n v="0"/>
    <s v="Fix"/>
    <s v="Nov-2017"/>
    <x v="13"/>
  </r>
  <r>
    <n v="2017"/>
    <n v="11"/>
    <s v="November"/>
    <x v="60"/>
    <n v="59.900001529999997"/>
    <n v="1"/>
    <n v="59.9"/>
    <n v="5"/>
    <n v="0"/>
    <n v="0"/>
    <s v="Fix"/>
    <s v="Nov-2017"/>
    <x v="13"/>
  </r>
  <r>
    <n v="2017"/>
    <n v="11"/>
    <s v="November"/>
    <x v="44"/>
    <n v="38.699998860000001"/>
    <n v="3"/>
    <n v="12.9"/>
    <n v="3.6666660000000002"/>
    <n v="0"/>
    <n v="0"/>
    <s v="Fix"/>
    <s v="Nov-2017"/>
    <x v="13"/>
  </r>
  <r>
    <n v="2017"/>
    <n v="12"/>
    <s v="December"/>
    <x v="6"/>
    <n v="71727.619690000007"/>
    <n v="346"/>
    <n v="207.31"/>
    <n v="4.0408160000000004"/>
    <n v="1"/>
    <n v="0.28999999999999998"/>
    <s v="Fix"/>
    <s v="Dec-2017"/>
    <x v="14"/>
  </r>
  <r>
    <n v="2017"/>
    <n v="12"/>
    <s v="December"/>
    <x v="0"/>
    <n v="61264.659890000003"/>
    <n v="432"/>
    <n v="141.82"/>
    <n v="4.1581390000000003"/>
    <n v="0"/>
    <n v="0"/>
    <s v="Fix"/>
    <s v="Dec-2017"/>
    <x v="14"/>
  </r>
  <r>
    <n v="2017"/>
    <n v="12"/>
    <s v="December"/>
    <x v="7"/>
    <n v="59792.65999"/>
    <n v="440"/>
    <n v="135.88999999999999"/>
    <n v="4.1235689999999998"/>
    <n v="1"/>
    <n v="0.23"/>
    <s v="Fix"/>
    <s v="Dec-2017"/>
    <x v="14"/>
  </r>
  <r>
    <n v="2017"/>
    <n v="12"/>
    <s v="December"/>
    <x v="4"/>
    <n v="57194.139949999997"/>
    <n v="421"/>
    <n v="135.85"/>
    <n v="3.939759"/>
    <n v="1"/>
    <n v="0.24"/>
    <s v="Fix"/>
    <s v="Dec-2017"/>
    <x v="14"/>
  </r>
  <r>
    <n v="2017"/>
    <n v="12"/>
    <s v="December"/>
    <x v="21"/>
    <n v="50505.849970000003"/>
    <n v="481"/>
    <n v="105"/>
    <n v="3.8981089999999998"/>
    <n v="0"/>
    <n v="0"/>
    <s v="Fix"/>
    <s v="Dec-2017"/>
    <x v="14"/>
  </r>
  <r>
    <n v="2017"/>
    <n v="12"/>
    <s v="December"/>
    <x v="8"/>
    <n v="39287.639969999997"/>
    <n v="243"/>
    <n v="161.68"/>
    <n v="3.9330539999999998"/>
    <n v="0"/>
    <n v="0"/>
    <s v="Fix"/>
    <s v="Dec-2017"/>
    <x v="14"/>
  </r>
  <r>
    <n v="2017"/>
    <n v="12"/>
    <s v="December"/>
    <x v="17"/>
    <n v="39011.540130000001"/>
    <n v="235"/>
    <n v="166.01"/>
    <n v="4.0652169999999996"/>
    <n v="1"/>
    <n v="0.43"/>
    <s v="Fix"/>
    <s v="Dec-2017"/>
    <x v="14"/>
  </r>
  <r>
    <n v="2017"/>
    <n v="12"/>
    <s v="December"/>
    <x v="11"/>
    <n v="37880.650159999997"/>
    <n v="252"/>
    <n v="150.32"/>
    <n v="4.0502000000000002"/>
    <n v="0"/>
    <n v="0"/>
    <s v="Fix"/>
    <s v="Dec-2017"/>
    <x v="14"/>
  </r>
  <r>
    <n v="2017"/>
    <n v="12"/>
    <s v="December"/>
    <x v="1"/>
    <n v="32011.75013"/>
    <n v="315"/>
    <n v="101.62"/>
    <n v="3.9839220000000002"/>
    <n v="0"/>
    <n v="0"/>
    <s v="Fix"/>
    <s v="Dec-2017"/>
    <x v="14"/>
  </r>
  <r>
    <n v="2017"/>
    <n v="12"/>
    <s v="December"/>
    <x v="3"/>
    <n v="27864.429899999999"/>
    <n v="233"/>
    <n v="119.59"/>
    <n v="4.1502140000000001"/>
    <n v="0"/>
    <n v="0"/>
    <s v="Fix"/>
    <s v="Dec-2017"/>
    <x v="14"/>
  </r>
  <r>
    <n v="2017"/>
    <n v="12"/>
    <s v="December"/>
    <x v="12"/>
    <n v="27689.690070000001"/>
    <n v="245"/>
    <n v="113.02"/>
    <n v="4.0619829999999997"/>
    <n v="1"/>
    <n v="0.41"/>
    <s v="Fix"/>
    <s v="Dec-2017"/>
    <x v="14"/>
  </r>
  <r>
    <n v="2017"/>
    <n v="12"/>
    <s v="December"/>
    <x v="16"/>
    <n v="25921.950089999998"/>
    <n v="249"/>
    <n v="104.1"/>
    <n v="3.947368"/>
    <n v="0"/>
    <n v="0"/>
    <s v="Fix"/>
    <s v="Dec-2017"/>
    <x v="14"/>
  </r>
  <r>
    <n v="2017"/>
    <n v="12"/>
    <s v="December"/>
    <x v="35"/>
    <n v="25730.999930000002"/>
    <n v="231"/>
    <n v="111.39"/>
    <n v="4.0782600000000002"/>
    <n v="0"/>
    <n v="0"/>
    <s v="Fix"/>
    <s v="Dec-2017"/>
    <x v="14"/>
  </r>
  <r>
    <n v="2017"/>
    <n v="12"/>
    <s v="December"/>
    <x v="10"/>
    <n v="19943.08005"/>
    <n v="139"/>
    <n v="143.47999999999999"/>
    <n v="3.794117"/>
    <n v="0"/>
    <n v="0"/>
    <s v="Fix"/>
    <s v="Dec-2017"/>
    <x v="14"/>
  </r>
  <r>
    <n v="2017"/>
    <n v="12"/>
    <s v="December"/>
    <x v="32"/>
    <n v="16741"/>
    <n v="19"/>
    <n v="881.11"/>
    <n v="3.4444439999999998"/>
    <n v="0"/>
    <n v="0"/>
    <s v="Fix"/>
    <s v="Dec-2017"/>
    <x v="14"/>
  </r>
  <r>
    <n v="2017"/>
    <n v="12"/>
    <s v="December"/>
    <x v="28"/>
    <n v="16224.919819999999"/>
    <n v="137"/>
    <n v="118.43"/>
    <s v="NULL"/>
    <s v="NULL"/>
    <s v="NULL"/>
    <s v="Fix"/>
    <s v="Dec-2017"/>
    <x v="14"/>
  </r>
  <r>
    <n v="2017"/>
    <n v="12"/>
    <s v="December"/>
    <x v="2"/>
    <n v="13611.00986"/>
    <n v="244"/>
    <n v="55.78"/>
    <n v="4.0580910000000001"/>
    <n v="0"/>
    <n v="0"/>
    <s v="Fix"/>
    <s v="Dec-2017"/>
    <x v="14"/>
  </r>
  <r>
    <n v="2017"/>
    <n v="12"/>
    <s v="December"/>
    <x v="38"/>
    <n v="10823.49999"/>
    <n v="41"/>
    <n v="263.99"/>
    <n v="3.9487169999999998"/>
    <n v="0"/>
    <n v="0"/>
    <s v="Fix"/>
    <s v="Dec-2017"/>
    <x v="14"/>
  </r>
  <r>
    <n v="2017"/>
    <n v="12"/>
    <s v="December"/>
    <x v="20"/>
    <n v="10028.460010000001"/>
    <n v="124"/>
    <n v="80.87"/>
    <n v="4.2016119999999999"/>
    <n v="0"/>
    <n v="0"/>
    <s v="Fix"/>
    <s v="Dec-2017"/>
    <x v="14"/>
  </r>
  <r>
    <n v="2017"/>
    <n v="12"/>
    <s v="December"/>
    <x v="5"/>
    <n v="9075.0099950000003"/>
    <n v="88"/>
    <n v="103.13"/>
    <n v="4.193181"/>
    <n v="0"/>
    <n v="0"/>
    <s v="Fix"/>
    <s v="Dec-2017"/>
    <x v="14"/>
  </r>
  <r>
    <n v="2017"/>
    <n v="12"/>
    <s v="December"/>
    <x v="34"/>
    <n v="8913.7699790000006"/>
    <n v="28"/>
    <n v="318.35000000000002"/>
    <n v="3.8571420000000001"/>
    <n v="0"/>
    <n v="0"/>
    <s v="Fix"/>
    <s v="Dec-2017"/>
    <x v="14"/>
  </r>
  <r>
    <n v="2017"/>
    <n v="12"/>
    <s v="December"/>
    <x v="13"/>
    <n v="8537.5099320000008"/>
    <n v="190"/>
    <n v="44.93"/>
    <n v="4.1052629999999999"/>
    <n v="0"/>
    <n v="0"/>
    <s v="Fix"/>
    <s v="Dec-2017"/>
    <x v="14"/>
  </r>
  <r>
    <n v="2017"/>
    <n v="12"/>
    <s v="December"/>
    <x v="19"/>
    <n v="7227.230055"/>
    <n v="71"/>
    <n v="101.79"/>
    <n v="4.2428569999999999"/>
    <n v="0"/>
    <n v="0"/>
    <s v="Fix"/>
    <s v="Dec-2017"/>
    <x v="14"/>
  </r>
  <r>
    <n v="2017"/>
    <n v="12"/>
    <s v="December"/>
    <x v="15"/>
    <n v="6964.3600159999996"/>
    <n v="39"/>
    <n v="178.57"/>
    <n v="3.5"/>
    <n v="0"/>
    <n v="0"/>
    <s v="Fix"/>
    <s v="Dec-2017"/>
    <x v="14"/>
  </r>
  <r>
    <n v="2017"/>
    <n v="12"/>
    <s v="December"/>
    <x v="50"/>
    <n v="6735.3000300000003"/>
    <n v="30"/>
    <n v="224.51"/>
    <n v="3.8"/>
    <n v="0"/>
    <n v="0"/>
    <s v="Fix"/>
    <s v="Dec-2017"/>
    <x v="14"/>
  </r>
  <r>
    <n v="2017"/>
    <n v="12"/>
    <s v="December"/>
    <x v="37"/>
    <n v="6248.2100929999997"/>
    <n v="45"/>
    <n v="138.85"/>
    <n v="4.3111110000000004"/>
    <n v="0"/>
    <n v="0"/>
    <s v="Fix"/>
    <s v="Dec-2017"/>
    <x v="14"/>
  </r>
  <r>
    <n v="2017"/>
    <n v="12"/>
    <s v="December"/>
    <x v="39"/>
    <n v="5830.3499789999996"/>
    <n v="22"/>
    <n v="265.02"/>
    <n v="3.6818179999999998"/>
    <n v="0"/>
    <n v="0"/>
    <s v="Fix"/>
    <s v="Dec-2017"/>
    <x v="14"/>
  </r>
  <r>
    <n v="2017"/>
    <n v="12"/>
    <s v="December"/>
    <x v="45"/>
    <n v="5291.7000049999997"/>
    <n v="9"/>
    <n v="587.97"/>
    <n v="4.555555"/>
    <n v="0"/>
    <n v="0"/>
    <s v="Fix"/>
    <s v="Dec-2017"/>
    <x v="14"/>
  </r>
  <r>
    <n v="2017"/>
    <n v="12"/>
    <s v="December"/>
    <x v="42"/>
    <n v="4277.2999989999998"/>
    <n v="16"/>
    <n v="267.33"/>
    <n v="4"/>
    <n v="0"/>
    <n v="0"/>
    <s v="Fix"/>
    <s v="Dec-2017"/>
    <x v="14"/>
  </r>
  <r>
    <n v="2017"/>
    <n v="12"/>
    <s v="December"/>
    <x v="24"/>
    <n v="2686.9299700000001"/>
    <n v="17"/>
    <n v="158.05000000000001"/>
    <n v="4.1764700000000001"/>
    <n v="0"/>
    <n v="0"/>
    <s v="Fix"/>
    <s v="Dec-2017"/>
    <x v="14"/>
  </r>
  <r>
    <n v="2017"/>
    <n v="12"/>
    <s v="December"/>
    <x v="26"/>
    <n v="2397.1000119999999"/>
    <n v="38"/>
    <n v="63.08"/>
    <n v="4.5526309999999999"/>
    <n v="1"/>
    <n v="2.63"/>
    <s v="Fix"/>
    <s v="Dec-2017"/>
    <x v="14"/>
  </r>
  <r>
    <n v="2017"/>
    <n v="12"/>
    <s v="December"/>
    <x v="36"/>
    <n v="2316.0100360000001"/>
    <n v="16"/>
    <n v="144.75"/>
    <n v="4.25"/>
    <n v="0"/>
    <n v="0"/>
    <s v="Fix"/>
    <s v="Dec-2017"/>
    <x v="14"/>
  </r>
  <r>
    <n v="2017"/>
    <n v="12"/>
    <s v="December"/>
    <x v="52"/>
    <n v="2257.8000029999998"/>
    <n v="14"/>
    <n v="161.27000000000001"/>
    <n v="3.785714"/>
    <n v="0"/>
    <n v="0"/>
    <s v="Fix"/>
    <s v="Dec-2017"/>
    <x v="14"/>
  </r>
  <r>
    <n v="2017"/>
    <n v="12"/>
    <s v="December"/>
    <x v="56"/>
    <n v="2132.8400360000001"/>
    <n v="31"/>
    <n v="68.8"/>
    <n v="4.2258060000000004"/>
    <n v="0"/>
    <n v="0"/>
    <s v="Fix"/>
    <s v="Dec-2017"/>
    <x v="14"/>
  </r>
  <r>
    <n v="2017"/>
    <n v="12"/>
    <s v="December"/>
    <x v="33"/>
    <n v="1990.159981"/>
    <n v="8"/>
    <n v="248.77"/>
    <n v="4.125"/>
    <n v="0"/>
    <n v="0"/>
    <s v="Fix"/>
    <s v="Dec-2017"/>
    <x v="14"/>
  </r>
  <r>
    <n v="2017"/>
    <n v="12"/>
    <s v="December"/>
    <x v="22"/>
    <n v="1828.5"/>
    <n v="9"/>
    <n v="203.17"/>
    <n v="3.7777769999999999"/>
    <n v="0"/>
    <n v="0"/>
    <s v="Fix"/>
    <s v="Dec-2017"/>
    <x v="14"/>
  </r>
  <r>
    <n v="2017"/>
    <n v="12"/>
    <s v="December"/>
    <x v="53"/>
    <n v="1384.919991"/>
    <n v="7"/>
    <n v="197.85"/>
    <n v="3.8571420000000001"/>
    <n v="0"/>
    <n v="0"/>
    <s v="Fix"/>
    <s v="Dec-2017"/>
    <x v="14"/>
  </r>
  <r>
    <n v="2017"/>
    <n v="12"/>
    <s v="December"/>
    <x v="49"/>
    <n v="1331.0000239999999"/>
    <n v="16"/>
    <n v="83.19"/>
    <n v="4.1875"/>
    <n v="0"/>
    <n v="0"/>
    <s v="Fix"/>
    <s v="Dec-2017"/>
    <x v="14"/>
  </r>
  <r>
    <n v="2017"/>
    <n v="12"/>
    <s v="December"/>
    <x v="41"/>
    <n v="1173.1000100000001"/>
    <n v="13"/>
    <n v="90.24"/>
    <n v="4.2307689999999996"/>
    <n v="0"/>
    <n v="0"/>
    <s v="Fix"/>
    <s v="Dec-2017"/>
    <x v="14"/>
  </r>
  <r>
    <n v="2017"/>
    <n v="12"/>
    <s v="December"/>
    <x v="30"/>
    <n v="1098.999996"/>
    <n v="12"/>
    <n v="91.58"/>
    <n v="4.3333329999999997"/>
    <n v="0"/>
    <n v="0"/>
    <s v="Fix"/>
    <s v="Dec-2017"/>
    <x v="14"/>
  </r>
  <r>
    <n v="2017"/>
    <n v="12"/>
    <s v="December"/>
    <x v="58"/>
    <n v="1098.6799960000001"/>
    <n v="19"/>
    <n v="57.83"/>
    <n v="4.5263150000000003"/>
    <n v="0"/>
    <n v="0"/>
    <s v="Fix"/>
    <s v="Dec-2017"/>
    <x v="14"/>
  </r>
  <r>
    <n v="2017"/>
    <n v="12"/>
    <s v="December"/>
    <x v="18"/>
    <n v="998.76998900000001"/>
    <n v="5"/>
    <n v="199.75"/>
    <n v="4.4000000000000004"/>
    <n v="0"/>
    <n v="0"/>
    <s v="Fix"/>
    <s v="Dec-2017"/>
    <x v="14"/>
  </r>
  <r>
    <n v="2017"/>
    <n v="12"/>
    <s v="December"/>
    <x v="27"/>
    <n v="978.19000240000003"/>
    <n v="12"/>
    <n v="81.52"/>
    <n v="4.1818179999999998"/>
    <n v="0"/>
    <n v="0"/>
    <s v="Fix"/>
    <s v="Dec-2017"/>
    <x v="14"/>
  </r>
  <r>
    <n v="2017"/>
    <n v="12"/>
    <s v="December"/>
    <x v="51"/>
    <n v="928.90000339999995"/>
    <n v="6"/>
    <n v="154.82"/>
    <n v="4.1666660000000002"/>
    <n v="0"/>
    <n v="0"/>
    <s v="Fix"/>
    <s v="Dec-2017"/>
    <x v="14"/>
  </r>
  <r>
    <n v="2017"/>
    <n v="12"/>
    <s v="December"/>
    <x v="63"/>
    <n v="803.7000008"/>
    <n v="8"/>
    <n v="100.46"/>
    <n v="4.5"/>
    <n v="0"/>
    <n v="0"/>
    <s v="Fix"/>
    <s v="Dec-2017"/>
    <x v="14"/>
  </r>
  <r>
    <n v="2017"/>
    <n v="12"/>
    <s v="December"/>
    <x v="59"/>
    <n v="770"/>
    <n v="2"/>
    <n v="385"/>
    <n v="5"/>
    <n v="0"/>
    <n v="0"/>
    <s v="Fix"/>
    <s v="Dec-2017"/>
    <x v="14"/>
  </r>
  <r>
    <n v="2017"/>
    <n v="12"/>
    <s v="December"/>
    <x v="14"/>
    <n v="703.25000190000003"/>
    <n v="13"/>
    <n v="54.1"/>
    <n v="4.1666660000000002"/>
    <n v="0"/>
    <n v="0"/>
    <s v="Fix"/>
    <s v="Dec-2017"/>
    <x v="14"/>
  </r>
  <r>
    <n v="2017"/>
    <n v="12"/>
    <s v="December"/>
    <x v="23"/>
    <n v="670.6900177"/>
    <n v="4"/>
    <n v="167.67"/>
    <n v="4"/>
    <n v="0"/>
    <n v="0"/>
    <s v="Fix"/>
    <s v="Dec-2017"/>
    <x v="14"/>
  </r>
  <r>
    <n v="2017"/>
    <n v="12"/>
    <s v="December"/>
    <x v="9"/>
    <n v="668.79998780000005"/>
    <n v="3"/>
    <n v="222.93"/>
    <n v="4.3333329999999997"/>
    <n v="0"/>
    <n v="0"/>
    <s v="Fix"/>
    <s v="Dec-2017"/>
    <x v="14"/>
  </r>
  <r>
    <n v="2017"/>
    <n v="12"/>
    <s v="December"/>
    <x v="71"/>
    <n v="515.20001219999995"/>
    <n v="2"/>
    <n v="257.60000000000002"/>
    <n v="5"/>
    <n v="0"/>
    <n v="0"/>
    <s v="Fix"/>
    <s v="Dec-2017"/>
    <x v="14"/>
  </r>
  <r>
    <n v="2017"/>
    <n v="12"/>
    <s v="December"/>
    <x v="64"/>
    <n v="493.90000579999997"/>
    <n v="14"/>
    <n v="35.28"/>
    <n v="4.3076920000000003"/>
    <n v="0"/>
    <n v="0"/>
    <s v="Fix"/>
    <s v="Dec-2017"/>
    <x v="14"/>
  </r>
  <r>
    <n v="2017"/>
    <n v="12"/>
    <s v="December"/>
    <x v="31"/>
    <n v="450.89000320000002"/>
    <n v="4"/>
    <n v="112.72"/>
    <n v="3.75"/>
    <n v="0"/>
    <n v="0"/>
    <s v="Fix"/>
    <s v="Dec-2017"/>
    <x v="14"/>
  </r>
  <r>
    <n v="2017"/>
    <n v="12"/>
    <s v="December"/>
    <x v="48"/>
    <n v="419.4000092"/>
    <n v="6"/>
    <n v="69.900000000000006"/>
    <n v="4.6666660000000002"/>
    <n v="0"/>
    <n v="0"/>
    <s v="Fix"/>
    <s v="Dec-2017"/>
    <x v="14"/>
  </r>
  <r>
    <n v="2017"/>
    <n v="12"/>
    <s v="December"/>
    <x v="61"/>
    <n v="349.399992"/>
    <n v="6"/>
    <n v="58.23"/>
    <n v="4"/>
    <n v="0"/>
    <n v="0"/>
    <s v="Fix"/>
    <s v="Dec-2017"/>
    <x v="14"/>
  </r>
  <r>
    <n v="2017"/>
    <n v="12"/>
    <s v="December"/>
    <x v="54"/>
    <n v="231"/>
    <n v="3"/>
    <n v="77"/>
    <n v="3.3333330000000001"/>
    <n v="0"/>
    <n v="0"/>
    <s v="Fix"/>
    <s v="Dec-2017"/>
    <x v="14"/>
  </r>
  <r>
    <n v="2017"/>
    <n v="12"/>
    <s v="December"/>
    <x v="43"/>
    <n v="185"/>
    <n v="1"/>
    <n v="185"/>
    <n v="5"/>
    <n v="0"/>
    <n v="0"/>
    <s v="Fix"/>
    <s v="Dec-2017"/>
    <x v="14"/>
  </r>
  <r>
    <n v="2017"/>
    <n v="12"/>
    <s v="December"/>
    <x v="69"/>
    <n v="176"/>
    <n v="2"/>
    <n v="88"/>
    <n v="4"/>
    <n v="0"/>
    <n v="0"/>
    <s v="Fix"/>
    <s v="Dec-2017"/>
    <x v="14"/>
  </r>
  <r>
    <n v="2017"/>
    <n v="12"/>
    <s v="December"/>
    <x v="46"/>
    <n v="119.9000015"/>
    <n v="1"/>
    <n v="119.9"/>
    <n v="4"/>
    <n v="0"/>
    <n v="0"/>
    <s v="Fix"/>
    <s v="Dec-2017"/>
    <x v="14"/>
  </r>
  <r>
    <n v="2017"/>
    <n v="12"/>
    <s v="December"/>
    <x v="57"/>
    <n v="115.2500014"/>
    <n v="3"/>
    <n v="38.42"/>
    <n v="5"/>
    <n v="0"/>
    <n v="0"/>
    <s v="Fix"/>
    <s v="Dec-2017"/>
    <x v="14"/>
  </r>
  <r>
    <n v="2017"/>
    <n v="12"/>
    <s v="December"/>
    <x v="72"/>
    <n v="82.700000759999995"/>
    <n v="2"/>
    <n v="41.35"/>
    <n v="5"/>
    <n v="0"/>
    <n v="0"/>
    <s v="Fix"/>
    <s v="Dec-2017"/>
    <x v="14"/>
  </r>
  <r>
    <n v="2017"/>
    <n v="12"/>
    <s v="December"/>
    <x v="25"/>
    <n v="76"/>
    <n v="1"/>
    <n v="76"/>
    <n v="1"/>
    <n v="0"/>
    <n v="0"/>
    <s v="Fix"/>
    <s v="Dec-2017"/>
    <x v="14"/>
  </r>
  <r>
    <n v="2017"/>
    <n v="12"/>
    <s v="December"/>
    <x v="70"/>
    <n v="65"/>
    <n v="1"/>
    <n v="65"/>
    <n v="5"/>
    <n v="0"/>
    <n v="0"/>
    <s v="Fix"/>
    <s v="Dec-2017"/>
    <x v="14"/>
  </r>
  <r>
    <n v="2017"/>
    <n v="12"/>
    <s v="December"/>
    <x v="60"/>
    <n v="59.900001529999997"/>
    <n v="1"/>
    <n v="59.9"/>
    <n v="5"/>
    <n v="0"/>
    <n v="0"/>
    <s v="Fix"/>
    <s v="Dec-2017"/>
    <x v="14"/>
  </r>
  <r>
    <n v="2018"/>
    <n v="1"/>
    <s v="January"/>
    <x v="7"/>
    <n v="91574.329920000004"/>
    <n v="586"/>
    <n v="156.27000000000001"/>
    <n v="3.982758"/>
    <n v="2"/>
    <n v="0.34"/>
    <s v="Fix"/>
    <s v="Jan-2018"/>
    <x v="15"/>
  </r>
  <r>
    <n v="2018"/>
    <n v="1"/>
    <s v="January"/>
    <x v="11"/>
    <n v="83257.449930000002"/>
    <n v="593"/>
    <n v="140.4"/>
    <n v="3.9821119999999999"/>
    <n v="8"/>
    <n v="1.35"/>
    <s v="Fix"/>
    <s v="Jan-2018"/>
    <x v="15"/>
  </r>
  <r>
    <n v="2018"/>
    <n v="1"/>
    <s v="January"/>
    <x v="21"/>
    <n v="76377.789940000002"/>
    <n v="699"/>
    <n v="109.27"/>
    <n v="3.9898690000000001"/>
    <n v="2"/>
    <n v="0.28999999999999998"/>
    <s v="Fix"/>
    <s v="Jan-2018"/>
    <x v="15"/>
  </r>
  <r>
    <n v="2018"/>
    <n v="1"/>
    <s v="January"/>
    <x v="6"/>
    <n v="75621.240030000001"/>
    <n v="337"/>
    <n v="224.4"/>
    <n v="4.0540539999999998"/>
    <n v="1"/>
    <n v="0.3"/>
    <s v="Fix"/>
    <s v="Jan-2018"/>
    <x v="15"/>
  </r>
  <r>
    <n v="2018"/>
    <n v="1"/>
    <s v="January"/>
    <x v="0"/>
    <n v="72470.489950000003"/>
    <n v="572"/>
    <n v="126.7"/>
    <n v="4.1657840000000004"/>
    <n v="2"/>
    <n v="0.35"/>
    <s v="Fix"/>
    <s v="Jan-2018"/>
    <x v="15"/>
  </r>
  <r>
    <n v="2018"/>
    <n v="1"/>
    <s v="January"/>
    <x v="1"/>
    <n v="55438.18045"/>
    <n v="478"/>
    <n v="115.98"/>
    <n v="3.9936699999999998"/>
    <n v="4"/>
    <n v="0.84"/>
    <s v="Fix"/>
    <s v="Jan-2018"/>
    <x v="15"/>
  </r>
  <r>
    <n v="2018"/>
    <n v="1"/>
    <s v="January"/>
    <x v="35"/>
    <n v="41023.909930000002"/>
    <n v="379"/>
    <n v="108.24"/>
    <n v="4.2198390000000003"/>
    <n v="4"/>
    <n v="1.06"/>
    <s v="Fix"/>
    <s v="Jan-2018"/>
    <x v="15"/>
  </r>
  <r>
    <n v="2018"/>
    <n v="1"/>
    <s v="January"/>
    <x v="17"/>
    <n v="39739.700199999999"/>
    <n v="289"/>
    <n v="137.51"/>
    <n v="4.1358879999999996"/>
    <n v="1"/>
    <n v="0.35"/>
    <s v="Fix"/>
    <s v="Jan-2018"/>
    <x v="15"/>
  </r>
  <r>
    <n v="2018"/>
    <n v="1"/>
    <s v="January"/>
    <x v="16"/>
    <n v="38078.310149999998"/>
    <n v="322"/>
    <n v="118.26"/>
    <n v="4.0906250000000002"/>
    <n v="2"/>
    <n v="0.62"/>
    <s v="Fix"/>
    <s v="Jan-2018"/>
    <x v="15"/>
  </r>
  <r>
    <n v="2018"/>
    <n v="1"/>
    <s v="January"/>
    <x v="8"/>
    <n v="35995.020109999998"/>
    <n v="244"/>
    <n v="147.52000000000001"/>
    <n v="4.0991730000000004"/>
    <n v="1"/>
    <n v="0.41"/>
    <s v="Fix"/>
    <s v="Jan-2018"/>
    <x v="15"/>
  </r>
  <r>
    <n v="2018"/>
    <n v="1"/>
    <s v="January"/>
    <x v="10"/>
    <n v="30058.47003"/>
    <n v="212"/>
    <n v="141.79"/>
    <n v="3.8190469999999999"/>
    <n v="1"/>
    <n v="0.47"/>
    <s v="Fix"/>
    <s v="Jan-2018"/>
    <x v="15"/>
  </r>
  <r>
    <n v="2018"/>
    <n v="1"/>
    <s v="January"/>
    <x v="12"/>
    <n v="27037.94023"/>
    <n v="205"/>
    <n v="131.88999999999999"/>
    <n v="4.196078"/>
    <n v="1"/>
    <n v="0.49"/>
    <s v="Fix"/>
    <s v="Jan-2018"/>
    <x v="15"/>
  </r>
  <r>
    <n v="2018"/>
    <n v="1"/>
    <s v="January"/>
    <x v="28"/>
    <n v="22489.44987"/>
    <n v="184"/>
    <n v="122.23"/>
    <s v="NULL"/>
    <s v="NULL"/>
    <s v="NULL"/>
    <s v="Fix"/>
    <s v="Jan-2018"/>
    <x v="15"/>
  </r>
  <r>
    <n v="2018"/>
    <n v="1"/>
    <s v="January"/>
    <x v="4"/>
    <n v="21948.230039999999"/>
    <n v="158"/>
    <n v="138.91"/>
    <n v="4.0961530000000002"/>
    <n v="0"/>
    <n v="0"/>
    <s v="Fix"/>
    <s v="Jan-2018"/>
    <x v="15"/>
  </r>
  <r>
    <n v="2018"/>
    <n v="1"/>
    <s v="January"/>
    <x v="15"/>
    <n v="20113.410080000001"/>
    <n v="106"/>
    <n v="189.75"/>
    <n v="3.3714279999999999"/>
    <n v="0"/>
    <n v="0"/>
    <s v="Fix"/>
    <s v="Jan-2018"/>
    <x v="15"/>
  </r>
  <r>
    <n v="2018"/>
    <n v="1"/>
    <s v="January"/>
    <x v="3"/>
    <n v="20036.890070000001"/>
    <n v="213"/>
    <n v="94.07"/>
    <n v="4.0047160000000002"/>
    <n v="2"/>
    <n v="0.94"/>
    <s v="Fix"/>
    <s v="Jan-2018"/>
    <x v="15"/>
  </r>
  <r>
    <n v="2018"/>
    <n v="1"/>
    <s v="January"/>
    <x v="37"/>
    <n v="18738.220130000002"/>
    <n v="123"/>
    <n v="152.34"/>
    <n v="4.1788610000000004"/>
    <n v="0"/>
    <n v="0"/>
    <s v="Fix"/>
    <s v="Jan-2018"/>
    <x v="15"/>
  </r>
  <r>
    <n v="2018"/>
    <n v="1"/>
    <s v="January"/>
    <x v="13"/>
    <n v="15996.67992"/>
    <n v="322"/>
    <n v="49.68"/>
    <n v="4.0531249999999996"/>
    <n v="0"/>
    <n v="0"/>
    <s v="Fix"/>
    <s v="Jan-2018"/>
    <x v="15"/>
  </r>
  <r>
    <n v="2018"/>
    <n v="1"/>
    <s v="January"/>
    <x v="34"/>
    <n v="15450.75999"/>
    <n v="52"/>
    <n v="297.13"/>
    <n v="4.3461530000000002"/>
    <n v="0"/>
    <n v="0"/>
    <s v="Fix"/>
    <s v="Jan-2018"/>
    <x v="15"/>
  </r>
  <r>
    <n v="2018"/>
    <n v="1"/>
    <s v="January"/>
    <x v="38"/>
    <n v="15405.58005"/>
    <n v="51"/>
    <n v="302.07"/>
    <n v="4.1764700000000001"/>
    <n v="1"/>
    <n v="1.96"/>
    <s v="Fix"/>
    <s v="Jan-2018"/>
    <x v="15"/>
  </r>
  <r>
    <n v="2018"/>
    <n v="1"/>
    <s v="January"/>
    <x v="2"/>
    <n v="14879.96005"/>
    <n v="347"/>
    <n v="42.88"/>
    <n v="3.9709300000000001"/>
    <n v="0"/>
    <n v="0"/>
    <s v="Fix"/>
    <s v="Jan-2018"/>
    <x v="15"/>
  </r>
  <r>
    <n v="2018"/>
    <n v="1"/>
    <s v="January"/>
    <x v="19"/>
    <n v="10885.96004"/>
    <n v="77"/>
    <n v="141.38"/>
    <n v="4.1184209999999997"/>
    <n v="0"/>
    <n v="0"/>
    <s v="Fix"/>
    <s v="Jan-2018"/>
    <x v="15"/>
  </r>
  <r>
    <n v="2018"/>
    <n v="1"/>
    <s v="January"/>
    <x v="39"/>
    <n v="9664.1800270000003"/>
    <n v="40"/>
    <n v="241.6"/>
    <n v="4.0897430000000004"/>
    <n v="0"/>
    <n v="0"/>
    <s v="Fix"/>
    <s v="Jan-2018"/>
    <x v="15"/>
  </r>
  <r>
    <n v="2018"/>
    <n v="1"/>
    <s v="January"/>
    <x v="33"/>
    <n v="8630.1000060000006"/>
    <n v="12"/>
    <n v="719.18"/>
    <n v="4.3333329999999997"/>
    <n v="0"/>
    <n v="0"/>
    <s v="Fix"/>
    <s v="Jan-2018"/>
    <x v="15"/>
  </r>
  <r>
    <n v="2018"/>
    <n v="1"/>
    <s v="January"/>
    <x v="5"/>
    <n v="8200.9800149999992"/>
    <n v="53"/>
    <n v="154.74"/>
    <n v="3.923076"/>
    <n v="0"/>
    <n v="0"/>
    <s v="Fix"/>
    <s v="Jan-2018"/>
    <x v="15"/>
  </r>
  <r>
    <n v="2018"/>
    <n v="1"/>
    <s v="January"/>
    <x v="20"/>
    <n v="7931.7200080000002"/>
    <n v="116"/>
    <n v="68.38"/>
    <n v="4.4912280000000004"/>
    <n v="0"/>
    <n v="0"/>
    <s v="Fix"/>
    <s v="Jan-2018"/>
    <x v="15"/>
  </r>
  <r>
    <n v="2018"/>
    <n v="1"/>
    <s v="January"/>
    <x v="32"/>
    <n v="7450"/>
    <n v="12"/>
    <n v="620.83000000000004"/>
    <n v="3.9166660000000002"/>
    <n v="0"/>
    <n v="0"/>
    <s v="Fix"/>
    <s v="Jan-2018"/>
    <x v="15"/>
  </r>
  <r>
    <n v="2018"/>
    <n v="1"/>
    <s v="January"/>
    <x v="45"/>
    <n v="5853.4400020000003"/>
    <n v="15"/>
    <n v="390.23"/>
    <n v="4.4000000000000004"/>
    <n v="0"/>
    <n v="0"/>
    <s v="Fix"/>
    <s v="Jan-2018"/>
    <x v="15"/>
  </r>
  <r>
    <n v="2018"/>
    <n v="1"/>
    <s v="January"/>
    <x v="50"/>
    <n v="5827.5799710000001"/>
    <n v="28"/>
    <n v="208.13"/>
    <n v="3.7142849999999998"/>
    <n v="0"/>
    <n v="0"/>
    <s v="Fix"/>
    <s v="Jan-2018"/>
    <x v="15"/>
  </r>
  <r>
    <n v="2018"/>
    <n v="1"/>
    <s v="January"/>
    <x v="42"/>
    <n v="4838.5000289999998"/>
    <n v="20"/>
    <n v="241.93"/>
    <n v="4.45"/>
    <n v="0"/>
    <n v="0"/>
    <s v="Fix"/>
    <s v="Jan-2018"/>
    <x v="15"/>
  </r>
  <r>
    <n v="2018"/>
    <n v="1"/>
    <s v="January"/>
    <x v="9"/>
    <n v="4674.7399770000002"/>
    <n v="22"/>
    <n v="212.49"/>
    <n v="4.1363630000000002"/>
    <n v="0"/>
    <n v="0"/>
    <s v="Fix"/>
    <s v="Jan-2018"/>
    <x v="15"/>
  </r>
  <r>
    <n v="2018"/>
    <n v="1"/>
    <s v="January"/>
    <x v="51"/>
    <n v="3927.9800009999999"/>
    <n v="21"/>
    <n v="187.05"/>
    <n v="4.4761899999999999"/>
    <n v="0"/>
    <n v="0"/>
    <s v="Fix"/>
    <s v="Jan-2018"/>
    <x v="15"/>
  </r>
  <r>
    <n v="2018"/>
    <n v="1"/>
    <s v="January"/>
    <x v="24"/>
    <n v="3820.2799610000002"/>
    <n v="25"/>
    <n v="152.81"/>
    <n v="4.08"/>
    <n v="0"/>
    <n v="0"/>
    <s v="Fix"/>
    <s v="Jan-2018"/>
    <x v="15"/>
  </r>
  <r>
    <n v="2018"/>
    <n v="1"/>
    <s v="January"/>
    <x v="22"/>
    <n v="3662.0000460000001"/>
    <n v="16"/>
    <n v="228.88"/>
    <n v="4.375"/>
    <n v="0"/>
    <n v="0"/>
    <s v="Fix"/>
    <s v="Jan-2018"/>
    <x v="15"/>
  </r>
  <r>
    <n v="2018"/>
    <n v="1"/>
    <s v="January"/>
    <x v="52"/>
    <n v="3020.1600250000001"/>
    <n v="18"/>
    <n v="167.79"/>
    <n v="4.1111110000000002"/>
    <n v="0"/>
    <n v="0"/>
    <s v="Fix"/>
    <s v="Jan-2018"/>
    <x v="15"/>
  </r>
  <r>
    <n v="2018"/>
    <n v="1"/>
    <s v="January"/>
    <x v="57"/>
    <n v="2540.7700730000001"/>
    <n v="19"/>
    <n v="133.72"/>
    <n v="3.473684"/>
    <n v="0"/>
    <n v="0"/>
    <s v="Fix"/>
    <s v="Jan-2018"/>
    <x v="15"/>
  </r>
  <r>
    <n v="2018"/>
    <n v="1"/>
    <s v="January"/>
    <x v="18"/>
    <n v="2444.0999820000002"/>
    <n v="10"/>
    <n v="244.41"/>
    <n v="4.0999999999999996"/>
    <n v="0"/>
    <n v="0"/>
    <s v="Fix"/>
    <s v="Jan-2018"/>
    <x v="15"/>
  </r>
  <r>
    <n v="2018"/>
    <n v="1"/>
    <s v="January"/>
    <x v="69"/>
    <n v="2392.990002"/>
    <n v="6"/>
    <n v="398.83"/>
    <n v="4.1666660000000002"/>
    <n v="0"/>
    <n v="0"/>
    <s v="Fix"/>
    <s v="Jan-2018"/>
    <x v="15"/>
  </r>
  <r>
    <n v="2018"/>
    <n v="1"/>
    <s v="January"/>
    <x v="36"/>
    <n v="2308.0999929999998"/>
    <n v="22"/>
    <n v="104.91"/>
    <n v="4.40909"/>
    <n v="0"/>
    <n v="0"/>
    <s v="Fix"/>
    <s v="Jan-2018"/>
    <x v="15"/>
  </r>
  <r>
    <n v="2018"/>
    <n v="1"/>
    <s v="January"/>
    <x v="56"/>
    <n v="2307.6100499999998"/>
    <n v="40"/>
    <n v="57.69"/>
    <n v="4.0999999999999996"/>
    <n v="0"/>
    <n v="0"/>
    <s v="Fix"/>
    <s v="Jan-2018"/>
    <x v="15"/>
  </r>
  <r>
    <n v="2018"/>
    <n v="1"/>
    <s v="January"/>
    <x v="53"/>
    <n v="2228.8899970000002"/>
    <n v="9"/>
    <n v="247.65"/>
    <n v="3.555555"/>
    <n v="0"/>
    <n v="0"/>
    <s v="Fix"/>
    <s v="Jan-2018"/>
    <x v="15"/>
  </r>
  <r>
    <n v="2018"/>
    <n v="1"/>
    <s v="January"/>
    <x v="26"/>
    <n v="2180.1500230000001"/>
    <n v="41"/>
    <n v="53.17"/>
    <n v="4.8048780000000004"/>
    <n v="0"/>
    <n v="0"/>
    <s v="Fix"/>
    <s v="Jan-2018"/>
    <x v="15"/>
  </r>
  <r>
    <n v="2018"/>
    <n v="1"/>
    <s v="January"/>
    <x v="49"/>
    <n v="1795.0500199999999"/>
    <n v="27"/>
    <n v="66.48"/>
    <n v="4.1481479999999999"/>
    <n v="0"/>
    <n v="0"/>
    <s v="Fix"/>
    <s v="Jan-2018"/>
    <x v="15"/>
  </r>
  <r>
    <n v="2018"/>
    <n v="1"/>
    <s v="January"/>
    <x v="23"/>
    <n v="1176.5500139999999"/>
    <n v="16"/>
    <n v="73.53"/>
    <n v="4.8125"/>
    <n v="0"/>
    <n v="0"/>
    <s v="Fix"/>
    <s v="Jan-2018"/>
    <x v="15"/>
  </r>
  <r>
    <n v="2018"/>
    <n v="1"/>
    <s v="January"/>
    <x v="59"/>
    <n v="1048.7900030000001"/>
    <n v="7"/>
    <n v="149.83000000000001"/>
    <n v="4"/>
    <n v="0"/>
    <n v="0"/>
    <s v="Fix"/>
    <s v="Jan-2018"/>
    <x v="15"/>
  </r>
  <r>
    <n v="2018"/>
    <n v="1"/>
    <s v="January"/>
    <x v="43"/>
    <n v="914.79998780000005"/>
    <n v="5"/>
    <n v="182.96"/>
    <n v="3.6"/>
    <n v="0"/>
    <n v="0"/>
    <s v="Fix"/>
    <s v="Jan-2018"/>
    <x v="15"/>
  </r>
  <r>
    <n v="2018"/>
    <n v="1"/>
    <s v="January"/>
    <x v="27"/>
    <n v="868.41000940000004"/>
    <n v="19"/>
    <n v="45.71"/>
    <n v="3.6315780000000002"/>
    <n v="0"/>
    <n v="0"/>
    <s v="Fix"/>
    <s v="Jan-2018"/>
    <x v="15"/>
  </r>
  <r>
    <n v="2018"/>
    <n v="1"/>
    <s v="January"/>
    <x v="63"/>
    <n v="860.5"/>
    <n v="9"/>
    <n v="95.61"/>
    <n v="4.3333329999999997"/>
    <n v="0"/>
    <n v="0"/>
    <s v="Fix"/>
    <s v="Jan-2018"/>
    <x v="15"/>
  </r>
  <r>
    <n v="2018"/>
    <n v="1"/>
    <s v="January"/>
    <x v="64"/>
    <n v="851.5000076"/>
    <n v="9"/>
    <n v="94.61"/>
    <n v="4.2222220000000004"/>
    <n v="0"/>
    <n v="0"/>
    <s v="Fix"/>
    <s v="Jan-2018"/>
    <x v="15"/>
  </r>
  <r>
    <n v="2018"/>
    <n v="1"/>
    <s v="January"/>
    <x v="14"/>
    <n v="818.72000500000001"/>
    <n v="12"/>
    <n v="68.23"/>
    <n v="4.1666660000000002"/>
    <n v="0"/>
    <n v="0"/>
    <s v="Fix"/>
    <s v="Jan-2018"/>
    <x v="15"/>
  </r>
  <r>
    <n v="2018"/>
    <n v="1"/>
    <s v="January"/>
    <x v="41"/>
    <n v="754.5000076"/>
    <n v="8"/>
    <n v="94.31"/>
    <n v="4.375"/>
    <n v="0"/>
    <n v="0"/>
    <s v="Fix"/>
    <s v="Jan-2018"/>
    <x v="15"/>
  </r>
  <r>
    <n v="2018"/>
    <n v="1"/>
    <s v="January"/>
    <x v="30"/>
    <n v="666.70000270000003"/>
    <n v="7"/>
    <n v="95.24"/>
    <n v="4"/>
    <n v="0"/>
    <n v="0"/>
    <s v="Fix"/>
    <s v="Jan-2018"/>
    <x v="15"/>
  </r>
  <r>
    <n v="2018"/>
    <n v="1"/>
    <s v="January"/>
    <x v="54"/>
    <n v="583"/>
    <n v="6"/>
    <n v="97.17"/>
    <n v="3.8333330000000001"/>
    <n v="0"/>
    <n v="0"/>
    <s v="Fix"/>
    <s v="Jan-2018"/>
    <x v="15"/>
  </r>
  <r>
    <n v="2018"/>
    <n v="1"/>
    <s v="January"/>
    <x v="31"/>
    <n v="550.60000609999997"/>
    <n v="5"/>
    <n v="110.12"/>
    <n v="3.8"/>
    <n v="0"/>
    <n v="0"/>
    <s v="Fix"/>
    <s v="Jan-2018"/>
    <x v="15"/>
  </r>
  <r>
    <n v="2018"/>
    <n v="1"/>
    <s v="January"/>
    <x v="61"/>
    <n v="532.29998780000005"/>
    <n v="8"/>
    <n v="66.540000000000006"/>
    <n v="3.8571420000000001"/>
    <n v="0"/>
    <n v="0"/>
    <s v="Fix"/>
    <s v="Jan-2018"/>
    <x v="15"/>
  </r>
  <r>
    <n v="2018"/>
    <n v="1"/>
    <s v="January"/>
    <x v="68"/>
    <n v="369.98999020000002"/>
    <n v="1"/>
    <n v="369.99"/>
    <n v="5"/>
    <n v="0"/>
    <n v="0"/>
    <s v="Fix"/>
    <s v="Jan-2018"/>
    <x v="15"/>
  </r>
  <r>
    <n v="2018"/>
    <n v="1"/>
    <s v="January"/>
    <x v="58"/>
    <n v="341.17000009999998"/>
    <n v="10"/>
    <n v="34.119999999999997"/>
    <n v="4.4000000000000004"/>
    <n v="0"/>
    <n v="0"/>
    <s v="Fix"/>
    <s v="Jan-2018"/>
    <x v="15"/>
  </r>
  <r>
    <n v="2018"/>
    <n v="1"/>
    <s v="January"/>
    <x v="72"/>
    <n v="284.6000042"/>
    <n v="7"/>
    <n v="40.659999999999997"/>
    <n v="4.1666660000000002"/>
    <n v="0"/>
    <n v="0"/>
    <s v="Fix"/>
    <s v="Jan-2018"/>
    <x v="15"/>
  </r>
  <r>
    <n v="2018"/>
    <n v="1"/>
    <s v="January"/>
    <x v="55"/>
    <n v="199.97999569999999"/>
    <n v="2"/>
    <n v="99.99"/>
    <n v="5"/>
    <n v="0"/>
    <n v="0"/>
    <s v="Fix"/>
    <s v="Jan-2018"/>
    <x v="15"/>
  </r>
  <r>
    <n v="2018"/>
    <n v="1"/>
    <s v="January"/>
    <x v="48"/>
    <n v="161.8000031"/>
    <n v="3"/>
    <n v="53.93"/>
    <n v="4.3333329999999997"/>
    <n v="0"/>
    <n v="0"/>
    <s v="Fix"/>
    <s v="Jan-2018"/>
    <x v="15"/>
  </r>
  <r>
    <n v="2018"/>
    <n v="1"/>
    <s v="January"/>
    <x v="29"/>
    <n v="161.7900028"/>
    <n v="3"/>
    <n v="53.93"/>
    <n v="5"/>
    <n v="0"/>
    <n v="0"/>
    <s v="Fix"/>
    <s v="Jan-2018"/>
    <x v="15"/>
  </r>
  <r>
    <n v="2018"/>
    <n v="1"/>
    <s v="January"/>
    <x v="71"/>
    <n v="135.8000031"/>
    <n v="2"/>
    <n v="67.900000000000006"/>
    <n v="3.5"/>
    <n v="0"/>
    <n v="0"/>
    <s v="Fix"/>
    <s v="Jan-2018"/>
    <x v="15"/>
  </r>
  <r>
    <n v="2018"/>
    <n v="1"/>
    <s v="January"/>
    <x v="25"/>
    <n v="125"/>
    <n v="1"/>
    <n v="125"/>
    <n v="1"/>
    <n v="0"/>
    <n v="0"/>
    <s v="Fix"/>
    <s v="Jan-2018"/>
    <x v="15"/>
  </r>
  <r>
    <n v="2018"/>
    <n v="1"/>
    <s v="January"/>
    <x v="60"/>
    <n v="119.8000031"/>
    <n v="2"/>
    <n v="59.9"/>
    <n v="4"/>
    <n v="0"/>
    <n v="0"/>
    <s v="Fix"/>
    <s v="Jan-2018"/>
    <x v="15"/>
  </r>
  <r>
    <n v="2018"/>
    <n v="1"/>
    <s v="January"/>
    <x v="65"/>
    <n v="112"/>
    <n v="1"/>
    <n v="112"/>
    <n v="5"/>
    <n v="0"/>
    <n v="0"/>
    <s v="Fix"/>
    <s v="Jan-2018"/>
    <x v="15"/>
  </r>
  <r>
    <n v="2018"/>
    <n v="1"/>
    <s v="January"/>
    <x v="46"/>
    <n v="49.799999239999998"/>
    <n v="2"/>
    <n v="24.9"/>
    <n v="5"/>
    <n v="0"/>
    <n v="0"/>
    <s v="Fix"/>
    <s v="Jan-2018"/>
    <x v="15"/>
  </r>
  <r>
    <n v="2018"/>
    <n v="1"/>
    <s v="January"/>
    <x v="47"/>
    <n v="24.969999309999999"/>
    <n v="1"/>
    <n v="24.97"/>
    <n v="5"/>
    <n v="0"/>
    <n v="0"/>
    <s v="Fix"/>
    <s v="Jan-2018"/>
    <x v="15"/>
  </r>
  <r>
    <n v="2018"/>
    <n v="2"/>
    <s v="February"/>
    <x v="11"/>
    <n v="100855.2298"/>
    <n v="801"/>
    <n v="125.91"/>
    <n v="3.659748"/>
    <n v="5"/>
    <n v="0.62"/>
    <s v="Fix"/>
    <s v="Feb-2018"/>
    <x v="16"/>
  </r>
  <r>
    <n v="2018"/>
    <n v="2"/>
    <s v="February"/>
    <x v="0"/>
    <n v="86996.060540000006"/>
    <n v="607"/>
    <n v="143.32"/>
    <n v="4.0281919999999998"/>
    <n v="8"/>
    <n v="1.32"/>
    <s v="Fix"/>
    <s v="Feb-2018"/>
    <x v="16"/>
  </r>
  <r>
    <n v="2018"/>
    <n v="2"/>
    <s v="February"/>
    <x v="7"/>
    <n v="75863.949930000002"/>
    <n v="585"/>
    <n v="129.68"/>
    <n v="3.848198"/>
    <n v="6"/>
    <n v="1.03"/>
    <s v="Fix"/>
    <s v="Feb-2018"/>
    <x v="16"/>
  </r>
  <r>
    <n v="2018"/>
    <n v="2"/>
    <s v="February"/>
    <x v="6"/>
    <n v="63462.179900000003"/>
    <n v="317"/>
    <n v="200.2"/>
    <n v="3.6719740000000001"/>
    <n v="7"/>
    <n v="2.21"/>
    <s v="Fix"/>
    <s v="Feb-2018"/>
    <x v="16"/>
  </r>
  <r>
    <n v="2018"/>
    <n v="2"/>
    <s v="February"/>
    <x v="21"/>
    <n v="60690.880120000002"/>
    <n v="593"/>
    <n v="102.35"/>
    <n v="3.634582"/>
    <n v="3"/>
    <n v="0.51"/>
    <s v="Fix"/>
    <s v="Feb-2018"/>
    <x v="16"/>
  </r>
  <r>
    <n v="2018"/>
    <n v="2"/>
    <s v="February"/>
    <x v="8"/>
    <n v="41706.890070000001"/>
    <n v="303"/>
    <n v="137.65"/>
    <n v="3.8887040000000002"/>
    <n v="1"/>
    <n v="0.33"/>
    <s v="Fix"/>
    <s v="Feb-2018"/>
    <x v="16"/>
  </r>
  <r>
    <n v="2018"/>
    <n v="2"/>
    <s v="February"/>
    <x v="1"/>
    <n v="38646.520259999998"/>
    <n v="342"/>
    <n v="113"/>
    <n v="3.7062309999999998"/>
    <n v="2"/>
    <n v="0.57999999999999996"/>
    <s v="Fix"/>
    <s v="Feb-2018"/>
    <x v="16"/>
  </r>
  <r>
    <n v="2018"/>
    <n v="2"/>
    <s v="February"/>
    <x v="16"/>
    <n v="35448.56005"/>
    <n v="342"/>
    <n v="103.65"/>
    <n v="3.9718930000000001"/>
    <n v="5"/>
    <n v="1.46"/>
    <s v="Fix"/>
    <s v="Feb-2018"/>
    <x v="16"/>
  </r>
  <r>
    <n v="2018"/>
    <n v="2"/>
    <s v="February"/>
    <x v="17"/>
    <n v="31002.210289999999"/>
    <n v="182"/>
    <n v="170.34"/>
    <n v="3.8820220000000001"/>
    <n v="1"/>
    <n v="0.55000000000000004"/>
    <s v="Fix"/>
    <s v="Feb-2018"/>
    <x v="16"/>
  </r>
  <r>
    <n v="2018"/>
    <n v="2"/>
    <s v="February"/>
    <x v="12"/>
    <n v="26838.03026"/>
    <n v="232"/>
    <n v="115.68"/>
    <n v="3.8211200000000001"/>
    <n v="1"/>
    <n v="0.43"/>
    <s v="Fix"/>
    <s v="Feb-2018"/>
    <x v="16"/>
  </r>
  <r>
    <n v="2018"/>
    <n v="2"/>
    <s v="February"/>
    <x v="10"/>
    <n v="25985.82012"/>
    <n v="169"/>
    <n v="153.76"/>
    <n v="3.7005979999999998"/>
    <n v="3"/>
    <n v="1.78"/>
    <s v="Fix"/>
    <s v="Feb-2018"/>
    <x v="16"/>
  </r>
  <r>
    <n v="2018"/>
    <n v="2"/>
    <s v="February"/>
    <x v="3"/>
    <n v="20632.700099999998"/>
    <n v="198"/>
    <n v="104.21"/>
    <n v="4.1598980000000001"/>
    <n v="3"/>
    <n v="1.52"/>
    <s v="Fix"/>
    <s v="Feb-2018"/>
    <x v="16"/>
  </r>
  <r>
    <n v="2018"/>
    <n v="2"/>
    <s v="February"/>
    <x v="15"/>
    <n v="17774.780050000001"/>
    <n v="72"/>
    <n v="246.87"/>
    <n v="3.225352"/>
    <n v="0"/>
    <n v="0"/>
    <s v="Fix"/>
    <s v="Feb-2018"/>
    <x v="16"/>
  </r>
  <r>
    <n v="2018"/>
    <n v="2"/>
    <s v="February"/>
    <x v="13"/>
    <n v="14780.59986"/>
    <n v="301"/>
    <n v="49.1"/>
    <n v="3.909395"/>
    <n v="1"/>
    <n v="0.33"/>
    <s v="Fix"/>
    <s v="Feb-2018"/>
    <x v="16"/>
  </r>
  <r>
    <n v="2018"/>
    <n v="2"/>
    <s v="February"/>
    <x v="4"/>
    <n v="14778.929980000001"/>
    <n v="137"/>
    <n v="107.88"/>
    <n v="3.8713229999999998"/>
    <n v="4"/>
    <n v="2.92"/>
    <s v="Fix"/>
    <s v="Feb-2018"/>
    <x v="16"/>
  </r>
  <r>
    <n v="2018"/>
    <n v="2"/>
    <s v="February"/>
    <x v="2"/>
    <n v="14105.23999"/>
    <n v="333"/>
    <n v="42.36"/>
    <n v="3.90909"/>
    <n v="3"/>
    <n v="0.9"/>
    <s v="Fix"/>
    <s v="Feb-2018"/>
    <x v="16"/>
  </r>
  <r>
    <n v="2018"/>
    <n v="2"/>
    <s v="February"/>
    <x v="28"/>
    <n v="12758.749900000001"/>
    <n v="110"/>
    <n v="115.99"/>
    <s v="NULL"/>
    <s v="NULL"/>
    <s v="NULL"/>
    <s v="Fix"/>
    <s v="Feb-2018"/>
    <x v="16"/>
  </r>
  <r>
    <n v="2018"/>
    <n v="2"/>
    <s v="February"/>
    <x v="5"/>
    <n v="11978.73007"/>
    <n v="51"/>
    <n v="234.88"/>
    <n v="3.5686270000000002"/>
    <n v="0"/>
    <n v="0"/>
    <s v="Fix"/>
    <s v="Feb-2018"/>
    <x v="16"/>
  </r>
  <r>
    <n v="2018"/>
    <n v="2"/>
    <s v="February"/>
    <x v="35"/>
    <n v="11889.1"/>
    <n v="144"/>
    <n v="82.56"/>
    <n v="3.7832159999999999"/>
    <n v="4"/>
    <n v="2.78"/>
    <s v="Fix"/>
    <s v="Feb-2018"/>
    <x v="16"/>
  </r>
  <r>
    <n v="2018"/>
    <n v="2"/>
    <s v="February"/>
    <x v="20"/>
    <n v="9786.6300229999997"/>
    <n v="102"/>
    <n v="95.95"/>
    <n v="4.0686270000000002"/>
    <n v="0"/>
    <n v="0"/>
    <s v="Fix"/>
    <s v="Feb-2018"/>
    <x v="16"/>
  </r>
  <r>
    <n v="2018"/>
    <n v="2"/>
    <s v="February"/>
    <x v="19"/>
    <n v="9595.0299840000007"/>
    <n v="89"/>
    <n v="107.81"/>
    <n v="4.0113630000000002"/>
    <n v="1"/>
    <n v="1.1200000000000001"/>
    <s v="Fix"/>
    <s v="Feb-2018"/>
    <x v="16"/>
  </r>
  <r>
    <n v="2018"/>
    <n v="2"/>
    <s v="February"/>
    <x v="38"/>
    <n v="9015.7299590000002"/>
    <n v="39"/>
    <n v="231.17"/>
    <n v="4.0769229999999999"/>
    <n v="0"/>
    <n v="0"/>
    <s v="Fix"/>
    <s v="Feb-2018"/>
    <x v="16"/>
  </r>
  <r>
    <n v="2018"/>
    <n v="2"/>
    <s v="February"/>
    <x v="39"/>
    <n v="9003.9700150000008"/>
    <n v="54"/>
    <n v="166.74"/>
    <n v="3.7592590000000001"/>
    <n v="1"/>
    <n v="1.85"/>
    <s v="Fix"/>
    <s v="Feb-2018"/>
    <x v="16"/>
  </r>
  <r>
    <n v="2018"/>
    <n v="2"/>
    <s v="February"/>
    <x v="33"/>
    <n v="8998.8299979999993"/>
    <n v="21"/>
    <n v="428.52"/>
    <n v="3.9047610000000001"/>
    <n v="0"/>
    <n v="0"/>
    <s v="Fix"/>
    <s v="Feb-2018"/>
    <x v="16"/>
  </r>
  <r>
    <n v="2018"/>
    <n v="2"/>
    <s v="February"/>
    <x v="45"/>
    <n v="7404.7999879999998"/>
    <n v="21"/>
    <n v="352.61"/>
    <n v="3.9523799999999998"/>
    <n v="0"/>
    <n v="0"/>
    <s v="Fix"/>
    <s v="Feb-2018"/>
    <x v="16"/>
  </r>
  <r>
    <n v="2018"/>
    <n v="2"/>
    <s v="February"/>
    <x v="37"/>
    <n v="6604.3500119999999"/>
    <n v="45"/>
    <n v="146.76"/>
    <n v="3.5227270000000002"/>
    <n v="2"/>
    <n v="4.4400000000000004"/>
    <s v="Fix"/>
    <s v="Feb-2018"/>
    <x v="16"/>
  </r>
  <r>
    <n v="2018"/>
    <n v="2"/>
    <s v="February"/>
    <x v="18"/>
    <n v="6138.669981"/>
    <n v="10"/>
    <n v="613.87"/>
    <n v="2.6"/>
    <n v="1"/>
    <n v="10"/>
    <s v="Fix"/>
    <s v="Feb-2018"/>
    <x v="16"/>
  </r>
  <r>
    <n v="2018"/>
    <n v="2"/>
    <s v="February"/>
    <x v="53"/>
    <n v="5965.7498530000003"/>
    <n v="7"/>
    <n v="852.25"/>
    <n v="4.571428"/>
    <n v="0"/>
    <n v="0"/>
    <s v="Fix"/>
    <s v="Feb-2018"/>
    <x v="16"/>
  </r>
  <r>
    <n v="2018"/>
    <n v="2"/>
    <s v="February"/>
    <x v="49"/>
    <n v="5583.7400129999996"/>
    <n v="48"/>
    <n v="116.33"/>
    <n v="4.2152770000000004"/>
    <n v="1"/>
    <n v="2.08"/>
    <s v="Fix"/>
    <s v="Feb-2018"/>
    <x v="16"/>
  </r>
  <r>
    <n v="2018"/>
    <n v="2"/>
    <s v="February"/>
    <x v="50"/>
    <n v="5303.9000230000001"/>
    <n v="32"/>
    <n v="165.75"/>
    <n v="3.9032249999999999"/>
    <n v="1"/>
    <n v="3.13"/>
    <s v="Fix"/>
    <s v="Feb-2018"/>
    <x v="16"/>
  </r>
  <r>
    <n v="2018"/>
    <n v="2"/>
    <s v="February"/>
    <x v="34"/>
    <n v="5245.1600550000003"/>
    <n v="30"/>
    <n v="174.84"/>
    <n v="4.1666660000000002"/>
    <n v="0"/>
    <n v="0"/>
    <s v="Fix"/>
    <s v="Feb-2018"/>
    <x v="16"/>
  </r>
  <r>
    <n v="2018"/>
    <n v="2"/>
    <s v="February"/>
    <x v="42"/>
    <n v="4750.1600109999999"/>
    <n v="17"/>
    <n v="279.42"/>
    <n v="4"/>
    <n v="1"/>
    <n v="5.88"/>
    <s v="Fix"/>
    <s v="Feb-2018"/>
    <x v="16"/>
  </r>
  <r>
    <n v="2018"/>
    <n v="2"/>
    <s v="February"/>
    <x v="22"/>
    <n v="4735.5900190000002"/>
    <n v="29"/>
    <n v="163.30000000000001"/>
    <n v="4.1428570000000002"/>
    <n v="0"/>
    <n v="0"/>
    <s v="Fix"/>
    <s v="Feb-2018"/>
    <x v="16"/>
  </r>
  <r>
    <n v="2018"/>
    <n v="2"/>
    <s v="February"/>
    <x v="36"/>
    <n v="4402.7800180000004"/>
    <n v="19"/>
    <n v="231.73"/>
    <n v="3.7368420000000002"/>
    <n v="0"/>
    <n v="0"/>
    <s v="Fix"/>
    <s v="Feb-2018"/>
    <x v="16"/>
  </r>
  <r>
    <n v="2018"/>
    <n v="2"/>
    <s v="February"/>
    <x v="68"/>
    <n v="3024.9"/>
    <n v="5"/>
    <n v="604.98"/>
    <n v="3.6"/>
    <n v="0"/>
    <n v="0"/>
    <s v="Fix"/>
    <s v="Feb-2018"/>
    <x v="16"/>
  </r>
  <r>
    <n v="2018"/>
    <n v="2"/>
    <s v="February"/>
    <x v="52"/>
    <n v="3012.7600400000001"/>
    <n v="20"/>
    <n v="150.63999999999999"/>
    <n v="3.9"/>
    <n v="0"/>
    <n v="0"/>
    <s v="Fix"/>
    <s v="Feb-2018"/>
    <x v="16"/>
  </r>
  <r>
    <n v="2018"/>
    <n v="2"/>
    <s v="February"/>
    <x v="24"/>
    <n v="2828.4899879999998"/>
    <n v="15"/>
    <n v="188.57"/>
    <n v="3.2666659999999998"/>
    <n v="0"/>
    <n v="0"/>
    <s v="Fix"/>
    <s v="Feb-2018"/>
    <x v="16"/>
  </r>
  <r>
    <n v="2018"/>
    <n v="2"/>
    <s v="February"/>
    <x v="9"/>
    <n v="2626.8900130000002"/>
    <n v="11"/>
    <n v="238.81"/>
    <n v="4.2727269999999997"/>
    <n v="0"/>
    <n v="0"/>
    <s v="Fix"/>
    <s v="Feb-2018"/>
    <x v="16"/>
  </r>
  <r>
    <n v="2018"/>
    <n v="2"/>
    <s v="February"/>
    <x v="64"/>
    <n v="2059.650024"/>
    <n v="17"/>
    <n v="121.16"/>
    <n v="3.875"/>
    <n v="0"/>
    <n v="0"/>
    <s v="Fix"/>
    <s v="Feb-2018"/>
    <x v="16"/>
  </r>
  <r>
    <n v="2018"/>
    <n v="2"/>
    <s v="February"/>
    <x v="56"/>
    <n v="1967.4400390000001"/>
    <n v="27"/>
    <n v="72.87"/>
    <n v="4.1481479999999999"/>
    <n v="0"/>
    <n v="0"/>
    <s v="Fix"/>
    <s v="Feb-2018"/>
    <x v="16"/>
  </r>
  <r>
    <n v="2018"/>
    <n v="2"/>
    <s v="February"/>
    <x v="27"/>
    <n v="1933.4200040000001"/>
    <n v="31"/>
    <n v="62.37"/>
    <n v="3.9354830000000001"/>
    <n v="1"/>
    <n v="3.23"/>
    <s v="Fix"/>
    <s v="Feb-2018"/>
    <x v="16"/>
  </r>
  <r>
    <n v="2018"/>
    <n v="2"/>
    <s v="February"/>
    <x v="14"/>
    <n v="1920.9200129999999"/>
    <n v="20"/>
    <n v="96.05"/>
    <n v="4.0999999999999996"/>
    <n v="0"/>
    <n v="0"/>
    <s v="Fix"/>
    <s v="Feb-2018"/>
    <x v="16"/>
  </r>
  <r>
    <n v="2018"/>
    <n v="2"/>
    <s v="February"/>
    <x v="26"/>
    <n v="1912.650009"/>
    <n v="29"/>
    <n v="65.95"/>
    <n v="4.3793100000000003"/>
    <n v="1"/>
    <n v="3.45"/>
    <s v="Fix"/>
    <s v="Feb-2018"/>
    <x v="16"/>
  </r>
  <r>
    <n v="2018"/>
    <n v="2"/>
    <s v="February"/>
    <x v="69"/>
    <n v="1610.8000050000001"/>
    <n v="9"/>
    <n v="178.98"/>
    <n v="3.555555"/>
    <n v="0"/>
    <n v="0"/>
    <s v="Fix"/>
    <s v="Feb-2018"/>
    <x v="16"/>
  </r>
  <r>
    <n v="2018"/>
    <n v="2"/>
    <s v="February"/>
    <x v="51"/>
    <n v="1538.2499789999999"/>
    <n v="14"/>
    <n v="109.87"/>
    <n v="4.3571419999999996"/>
    <n v="0"/>
    <n v="0"/>
    <s v="Fix"/>
    <s v="Feb-2018"/>
    <x v="16"/>
  </r>
  <r>
    <n v="2018"/>
    <n v="2"/>
    <s v="February"/>
    <x v="23"/>
    <n v="1411.2100109999999"/>
    <n v="23"/>
    <n v="61.36"/>
    <n v="4.0869559999999998"/>
    <n v="0"/>
    <n v="0"/>
    <s v="Fix"/>
    <s v="Feb-2018"/>
    <x v="16"/>
  </r>
  <r>
    <n v="2018"/>
    <n v="2"/>
    <s v="February"/>
    <x v="61"/>
    <n v="1318.199991"/>
    <n v="11"/>
    <n v="119.84"/>
    <n v="4.4000000000000004"/>
    <n v="0"/>
    <n v="0"/>
    <s v="Fix"/>
    <s v="Feb-2018"/>
    <x v="16"/>
  </r>
  <r>
    <n v="2018"/>
    <n v="2"/>
    <s v="February"/>
    <x v="57"/>
    <n v="1251.7099840000001"/>
    <n v="12"/>
    <n v="104.31"/>
    <n v="3.6666660000000002"/>
    <n v="1"/>
    <n v="8.33"/>
    <s v="Fix"/>
    <s v="Feb-2018"/>
    <x v="16"/>
  </r>
  <r>
    <n v="2018"/>
    <n v="2"/>
    <s v="February"/>
    <x v="43"/>
    <n v="1094.7999950000001"/>
    <n v="7"/>
    <n v="156.4"/>
    <n v="4.2857139999999996"/>
    <n v="0"/>
    <n v="0"/>
    <s v="Fix"/>
    <s v="Feb-2018"/>
    <x v="16"/>
  </r>
  <r>
    <n v="2018"/>
    <n v="2"/>
    <s v="February"/>
    <x v="58"/>
    <n v="1059.1000019999999"/>
    <n v="21"/>
    <n v="50.43"/>
    <n v="4.0476190000000001"/>
    <n v="0"/>
    <n v="0"/>
    <s v="Fix"/>
    <s v="Feb-2018"/>
    <x v="16"/>
  </r>
  <r>
    <n v="2018"/>
    <n v="2"/>
    <s v="February"/>
    <x v="30"/>
    <n v="1033.6999860000001"/>
    <n v="10"/>
    <n v="103.37"/>
    <n v="3.8"/>
    <n v="0"/>
    <n v="0"/>
    <s v="Fix"/>
    <s v="Feb-2018"/>
    <x v="16"/>
  </r>
  <r>
    <n v="2018"/>
    <n v="2"/>
    <s v="February"/>
    <x v="59"/>
    <n v="715.7900009"/>
    <n v="10"/>
    <n v="71.58"/>
    <n v="4"/>
    <n v="0"/>
    <n v="0"/>
    <s v="Fix"/>
    <s v="Feb-2018"/>
    <x v="16"/>
  </r>
  <r>
    <n v="2018"/>
    <n v="2"/>
    <s v="February"/>
    <x v="48"/>
    <n v="694.97001269999998"/>
    <n v="12"/>
    <n v="57.91"/>
    <n v="3.75"/>
    <n v="0"/>
    <n v="0"/>
    <s v="Fix"/>
    <s v="Feb-2018"/>
    <x v="16"/>
  </r>
  <r>
    <n v="2018"/>
    <n v="2"/>
    <s v="February"/>
    <x v="41"/>
    <n v="399.30001069999997"/>
    <n v="7"/>
    <n v="57.04"/>
    <n v="2.8333330000000001"/>
    <n v="0"/>
    <n v="0"/>
    <s v="Fix"/>
    <s v="Feb-2018"/>
    <x v="16"/>
  </r>
  <r>
    <n v="2018"/>
    <n v="2"/>
    <s v="February"/>
    <x v="63"/>
    <n v="389.40000149999997"/>
    <n v="6"/>
    <n v="64.900000000000006"/>
    <n v="2.6666660000000002"/>
    <n v="0"/>
    <n v="0"/>
    <s v="Fix"/>
    <s v="Feb-2018"/>
    <x v="16"/>
  </r>
  <r>
    <n v="2018"/>
    <n v="2"/>
    <s v="February"/>
    <x v="31"/>
    <n v="388.08999249999999"/>
    <n v="3"/>
    <n v="129.36000000000001"/>
    <n v="3"/>
    <n v="0"/>
    <n v="0"/>
    <s v="Fix"/>
    <s v="Feb-2018"/>
    <x v="16"/>
  </r>
  <r>
    <n v="2018"/>
    <n v="2"/>
    <s v="February"/>
    <x v="54"/>
    <n v="325"/>
    <n v="3"/>
    <n v="108.33"/>
    <n v="4.3333329999999997"/>
    <n v="0"/>
    <n v="0"/>
    <s v="Fix"/>
    <s v="Feb-2018"/>
    <x v="16"/>
  </r>
  <r>
    <n v="2018"/>
    <n v="2"/>
    <s v="February"/>
    <x v="47"/>
    <n v="244.96999930000001"/>
    <n v="2"/>
    <n v="122.48"/>
    <n v="4"/>
    <n v="0"/>
    <n v="0"/>
    <s v="Fix"/>
    <s v="Feb-2018"/>
    <x v="16"/>
  </r>
  <r>
    <n v="2018"/>
    <n v="2"/>
    <s v="February"/>
    <x v="55"/>
    <n v="227.98999789999999"/>
    <n v="2"/>
    <n v="113.99"/>
    <n v="5"/>
    <n v="0"/>
    <n v="0"/>
    <s v="Fix"/>
    <s v="Feb-2018"/>
    <x v="16"/>
  </r>
  <r>
    <n v="2018"/>
    <n v="2"/>
    <s v="February"/>
    <x v="72"/>
    <n v="134.48000139999999"/>
    <n v="4"/>
    <n v="33.619999999999997"/>
    <n v="4.75"/>
    <n v="0"/>
    <n v="0"/>
    <s v="Fix"/>
    <s v="Feb-2018"/>
    <x v="16"/>
  </r>
  <r>
    <n v="2018"/>
    <n v="2"/>
    <s v="February"/>
    <x v="62"/>
    <n v="129.9900055"/>
    <n v="1"/>
    <n v="129.99"/>
    <n v="1"/>
    <n v="0"/>
    <n v="0"/>
    <s v="Fix"/>
    <s v="Feb-2018"/>
    <x v="16"/>
  </r>
  <r>
    <n v="2018"/>
    <n v="2"/>
    <s v="February"/>
    <x v="25"/>
    <n v="100"/>
    <n v="1"/>
    <n v="100"/>
    <n v="3"/>
    <n v="0"/>
    <n v="0"/>
    <s v="Fix"/>
    <s v="Feb-2018"/>
    <x v="16"/>
  </r>
  <r>
    <n v="2018"/>
    <n v="2"/>
    <s v="February"/>
    <x v="44"/>
    <n v="38.699998860000001"/>
    <n v="2"/>
    <n v="19.350000000000001"/>
    <n v="1.5"/>
    <n v="0"/>
    <n v="0"/>
    <s v="Fix"/>
    <s v="Feb-2018"/>
    <x v="16"/>
  </r>
  <r>
    <n v="2018"/>
    <n v="2"/>
    <s v="February"/>
    <x v="29"/>
    <n v="29.989999770000001"/>
    <n v="1"/>
    <n v="29.99"/>
    <n v="4"/>
    <n v="0"/>
    <n v="0"/>
    <s v="Fix"/>
    <s v="Feb-2018"/>
    <x v="16"/>
  </r>
  <r>
    <n v="2018"/>
    <n v="2"/>
    <s v="February"/>
    <x v="46"/>
    <n v="24.899999619999999"/>
    <n v="1"/>
    <n v="24.9"/>
    <n v="5"/>
    <n v="0"/>
    <n v="0"/>
    <s v="Fix"/>
    <s v="Feb-2018"/>
    <x v="16"/>
  </r>
  <r>
    <n v="2018"/>
    <n v="3"/>
    <s v="March"/>
    <x v="6"/>
    <n v="97861.079830000002"/>
    <n v="416"/>
    <n v="235.24"/>
    <n v="3.7118220000000002"/>
    <n v="0"/>
    <n v="0"/>
    <s v="Fix"/>
    <s v="Mar-2018"/>
    <x v="17"/>
  </r>
  <r>
    <n v="2018"/>
    <n v="3"/>
    <s v="March"/>
    <x v="0"/>
    <n v="90034.410699999993"/>
    <n v="621"/>
    <n v="144.97999999999999"/>
    <n v="3.7089430000000001"/>
    <n v="3"/>
    <n v="0.48"/>
    <s v="Fix"/>
    <s v="Mar-2018"/>
    <x v="17"/>
  </r>
  <r>
    <n v="2018"/>
    <n v="3"/>
    <s v="March"/>
    <x v="11"/>
    <n v="85673.529550000007"/>
    <n v="638"/>
    <n v="134.28"/>
    <n v="3.8556780000000002"/>
    <n v="1"/>
    <n v="0.16"/>
    <s v="Fix"/>
    <s v="Mar-2018"/>
    <x v="17"/>
  </r>
  <r>
    <n v="2018"/>
    <n v="3"/>
    <s v="March"/>
    <x v="7"/>
    <n v="85292.169850000006"/>
    <n v="672"/>
    <n v="126.92"/>
    <n v="3.7548870000000001"/>
    <n v="5"/>
    <n v="0.74"/>
    <s v="Fix"/>
    <s v="Mar-2018"/>
    <x v="17"/>
  </r>
  <r>
    <n v="2018"/>
    <n v="3"/>
    <s v="March"/>
    <x v="21"/>
    <n v="69256.38996"/>
    <n v="670"/>
    <n v="103.37"/>
    <n v="3.6356060000000001"/>
    <n v="0"/>
    <n v="0"/>
    <s v="Fix"/>
    <s v="Mar-2018"/>
    <x v="17"/>
  </r>
  <r>
    <n v="2018"/>
    <n v="3"/>
    <s v="March"/>
    <x v="1"/>
    <n v="52244.040300000001"/>
    <n v="442"/>
    <n v="118.2"/>
    <n v="3.6632419999999999"/>
    <n v="2"/>
    <n v="0.45"/>
    <s v="Fix"/>
    <s v="Mar-2018"/>
    <x v="17"/>
  </r>
  <r>
    <n v="2018"/>
    <n v="3"/>
    <s v="March"/>
    <x v="8"/>
    <n v="44753.240010000001"/>
    <n v="325"/>
    <n v="137.69999999999999"/>
    <n v="3.8235290000000002"/>
    <n v="0"/>
    <n v="0"/>
    <s v="Fix"/>
    <s v="Mar-2018"/>
    <x v="17"/>
  </r>
  <r>
    <n v="2018"/>
    <n v="3"/>
    <s v="March"/>
    <x v="10"/>
    <n v="41985.740080000003"/>
    <n v="217"/>
    <n v="193.48"/>
    <n v="3.602325"/>
    <n v="2"/>
    <n v="0.92"/>
    <s v="Fix"/>
    <s v="Mar-2018"/>
    <x v="17"/>
  </r>
  <r>
    <n v="2018"/>
    <n v="3"/>
    <s v="March"/>
    <x v="17"/>
    <n v="38353.22019"/>
    <n v="242"/>
    <n v="158.47999999999999"/>
    <n v="3.8719000000000001"/>
    <n v="0"/>
    <n v="0"/>
    <s v="Fix"/>
    <s v="Mar-2018"/>
    <x v="17"/>
  </r>
  <r>
    <n v="2018"/>
    <n v="3"/>
    <s v="March"/>
    <x v="16"/>
    <n v="37514.440110000003"/>
    <n v="338"/>
    <n v="110.99"/>
    <n v="3.7440470000000001"/>
    <n v="2"/>
    <n v="0.59"/>
    <s v="Fix"/>
    <s v="Mar-2018"/>
    <x v="17"/>
  </r>
  <r>
    <n v="2018"/>
    <n v="3"/>
    <s v="March"/>
    <x v="15"/>
    <n v="31301.62009"/>
    <n v="151"/>
    <n v="207.3"/>
    <n v="3.4966879999999998"/>
    <n v="0"/>
    <n v="0"/>
    <s v="Fix"/>
    <s v="Mar-2018"/>
    <x v="17"/>
  </r>
  <r>
    <n v="2018"/>
    <n v="3"/>
    <s v="March"/>
    <x v="12"/>
    <n v="27612.250209999998"/>
    <n v="205"/>
    <n v="134.69"/>
    <n v="3.8112740000000001"/>
    <n v="1"/>
    <n v="0.49"/>
    <s v="Fix"/>
    <s v="Mar-2018"/>
    <x v="17"/>
  </r>
  <r>
    <n v="2018"/>
    <n v="3"/>
    <s v="March"/>
    <x v="2"/>
    <n v="25804.88998"/>
    <n v="329"/>
    <n v="78.430000000000007"/>
    <n v="3.5460120000000002"/>
    <n v="1"/>
    <n v="0.3"/>
    <s v="Fix"/>
    <s v="Mar-2018"/>
    <x v="17"/>
  </r>
  <r>
    <n v="2018"/>
    <n v="3"/>
    <s v="March"/>
    <x v="4"/>
    <n v="23407.40019"/>
    <n v="222"/>
    <n v="105.44"/>
    <n v="3.7285059999999999"/>
    <n v="2"/>
    <n v="0.9"/>
    <s v="Fix"/>
    <s v="Mar-2018"/>
    <x v="17"/>
  </r>
  <r>
    <n v="2018"/>
    <n v="3"/>
    <s v="March"/>
    <x v="3"/>
    <n v="20473.250019999999"/>
    <n v="186"/>
    <n v="110.07"/>
    <n v="3.9783780000000002"/>
    <n v="0"/>
    <n v="0"/>
    <s v="Fix"/>
    <s v="Mar-2018"/>
    <x v="17"/>
  </r>
  <r>
    <n v="2018"/>
    <n v="3"/>
    <s v="March"/>
    <x v="28"/>
    <n v="17378.109970000001"/>
    <n v="127"/>
    <n v="136.84"/>
    <s v="NULL"/>
    <s v="NULL"/>
    <s v="NULL"/>
    <s v="Fix"/>
    <s v="Mar-2018"/>
    <x v="17"/>
  </r>
  <r>
    <n v="2018"/>
    <n v="3"/>
    <s v="March"/>
    <x v="34"/>
    <n v="14260.150019999999"/>
    <n v="36"/>
    <n v="396.12"/>
    <n v="3.8285710000000002"/>
    <n v="1"/>
    <n v="2.78"/>
    <s v="Fix"/>
    <s v="Mar-2018"/>
    <x v="17"/>
  </r>
  <r>
    <n v="2018"/>
    <n v="3"/>
    <s v="March"/>
    <x v="19"/>
    <n v="13643.69"/>
    <n v="110"/>
    <n v="124.03"/>
    <n v="3.7454540000000001"/>
    <n v="0"/>
    <n v="0"/>
    <s v="Fix"/>
    <s v="Mar-2018"/>
    <x v="17"/>
  </r>
  <r>
    <n v="2018"/>
    <n v="3"/>
    <s v="March"/>
    <x v="35"/>
    <n v="13152.74001"/>
    <n v="146"/>
    <n v="90.09"/>
    <n v="3.828767"/>
    <n v="0"/>
    <n v="0"/>
    <s v="Fix"/>
    <s v="Mar-2018"/>
    <x v="17"/>
  </r>
  <r>
    <n v="2018"/>
    <n v="3"/>
    <s v="March"/>
    <x v="13"/>
    <n v="12554.800010000001"/>
    <n v="244"/>
    <n v="51.45"/>
    <n v="3.7909830000000002"/>
    <n v="0"/>
    <n v="0"/>
    <s v="Fix"/>
    <s v="Mar-2018"/>
    <x v="17"/>
  </r>
  <r>
    <n v="2018"/>
    <n v="3"/>
    <s v="March"/>
    <x v="5"/>
    <n v="11858.72035"/>
    <n v="54"/>
    <n v="219.61"/>
    <n v="3.7058819999999999"/>
    <n v="0"/>
    <n v="0"/>
    <s v="Fix"/>
    <s v="Mar-2018"/>
    <x v="17"/>
  </r>
  <r>
    <n v="2018"/>
    <n v="3"/>
    <s v="March"/>
    <x v="38"/>
    <n v="10822.200070000001"/>
    <n v="51"/>
    <n v="212.2"/>
    <n v="4.1176469999999998"/>
    <n v="0"/>
    <n v="0"/>
    <s v="Fix"/>
    <s v="Mar-2018"/>
    <x v="17"/>
  </r>
  <r>
    <n v="2018"/>
    <n v="3"/>
    <s v="March"/>
    <x v="24"/>
    <n v="10606.68995"/>
    <n v="33"/>
    <n v="321.41000000000003"/>
    <n v="2.878787"/>
    <n v="0"/>
    <n v="0"/>
    <s v="Fix"/>
    <s v="Mar-2018"/>
    <x v="17"/>
  </r>
  <r>
    <n v="2018"/>
    <n v="3"/>
    <s v="March"/>
    <x v="39"/>
    <n v="10549.379989999999"/>
    <n v="52"/>
    <n v="202.87"/>
    <n v="3.5882350000000001"/>
    <n v="0"/>
    <n v="0"/>
    <s v="Fix"/>
    <s v="Mar-2018"/>
    <x v="17"/>
  </r>
  <r>
    <n v="2018"/>
    <n v="3"/>
    <s v="March"/>
    <x v="20"/>
    <n v="10261.57999"/>
    <n v="131"/>
    <n v="78.33"/>
    <n v="3.8653840000000002"/>
    <n v="0"/>
    <n v="0"/>
    <s v="Fix"/>
    <s v="Mar-2018"/>
    <x v="17"/>
  </r>
  <r>
    <n v="2018"/>
    <n v="3"/>
    <s v="March"/>
    <x v="49"/>
    <n v="9876.5900199999996"/>
    <n v="70"/>
    <n v="141.09"/>
    <n v="3.956521"/>
    <n v="0"/>
    <n v="0"/>
    <s v="Fix"/>
    <s v="Mar-2018"/>
    <x v="17"/>
  </r>
  <r>
    <n v="2018"/>
    <n v="3"/>
    <s v="March"/>
    <x v="68"/>
    <n v="7890.8999940000003"/>
    <n v="7"/>
    <n v="1127.27"/>
    <n v="4.8571419999999996"/>
    <n v="0"/>
    <n v="0"/>
    <s v="Fix"/>
    <s v="Mar-2018"/>
    <x v="17"/>
  </r>
  <r>
    <n v="2018"/>
    <n v="3"/>
    <s v="March"/>
    <x v="45"/>
    <n v="6019"/>
    <n v="25"/>
    <n v="240.76"/>
    <n v="4.16"/>
    <n v="0"/>
    <n v="0"/>
    <s v="Fix"/>
    <s v="Mar-2018"/>
    <x v="17"/>
  </r>
  <r>
    <n v="2018"/>
    <n v="3"/>
    <s v="March"/>
    <x v="37"/>
    <n v="5911.7699490000005"/>
    <n v="52"/>
    <n v="113.69"/>
    <n v="4.4117639999999998"/>
    <n v="0"/>
    <n v="0"/>
    <s v="Fix"/>
    <s v="Mar-2018"/>
    <x v="17"/>
  </r>
  <r>
    <n v="2018"/>
    <n v="3"/>
    <s v="March"/>
    <x v="33"/>
    <n v="5648.1999889999997"/>
    <n v="12"/>
    <n v="470.68"/>
    <n v="4.0833329999999997"/>
    <n v="0"/>
    <n v="0"/>
    <s v="Fix"/>
    <s v="Mar-2018"/>
    <x v="17"/>
  </r>
  <r>
    <n v="2018"/>
    <n v="3"/>
    <s v="March"/>
    <x v="50"/>
    <n v="5639.5099769999997"/>
    <n v="34"/>
    <n v="165.87"/>
    <n v="3.7058819999999999"/>
    <n v="0"/>
    <n v="0"/>
    <s v="Fix"/>
    <s v="Mar-2018"/>
    <x v="17"/>
  </r>
  <r>
    <n v="2018"/>
    <n v="3"/>
    <s v="March"/>
    <x v="53"/>
    <n v="5374.8700349999999"/>
    <n v="13"/>
    <n v="413.45"/>
    <n v="3.6153840000000002"/>
    <n v="0"/>
    <n v="0"/>
    <s v="Fix"/>
    <s v="Mar-2018"/>
    <x v="17"/>
  </r>
  <r>
    <n v="2018"/>
    <n v="3"/>
    <s v="March"/>
    <x v="36"/>
    <n v="3521.8699419999998"/>
    <n v="19"/>
    <n v="185.36"/>
    <n v="3.5263149999999999"/>
    <n v="0"/>
    <n v="0"/>
    <s v="Fix"/>
    <s v="Mar-2018"/>
    <x v="17"/>
  </r>
  <r>
    <n v="2018"/>
    <n v="3"/>
    <s v="March"/>
    <x v="22"/>
    <n v="2922.4500010000002"/>
    <n v="26"/>
    <n v="112.4"/>
    <n v="3.76"/>
    <n v="0"/>
    <n v="0"/>
    <s v="Fix"/>
    <s v="Mar-2018"/>
    <x v="17"/>
  </r>
  <r>
    <n v="2018"/>
    <n v="3"/>
    <s v="March"/>
    <x v="42"/>
    <n v="2842.6600039999998"/>
    <n v="12"/>
    <n v="236.89"/>
    <n v="3.9166660000000002"/>
    <n v="0"/>
    <n v="0"/>
    <s v="Fix"/>
    <s v="Mar-2018"/>
    <x v="17"/>
  </r>
  <r>
    <n v="2018"/>
    <n v="3"/>
    <s v="March"/>
    <x v="9"/>
    <n v="2667.5799940000002"/>
    <n v="24"/>
    <n v="111.15"/>
    <n v="3.625"/>
    <n v="0"/>
    <n v="0"/>
    <s v="Fix"/>
    <s v="Mar-2018"/>
    <x v="17"/>
  </r>
  <r>
    <n v="2018"/>
    <n v="3"/>
    <s v="March"/>
    <x v="69"/>
    <n v="2536.7000050000001"/>
    <n v="12"/>
    <n v="211.39"/>
    <n v="3.4166660000000002"/>
    <n v="0"/>
    <n v="0"/>
    <s v="Fix"/>
    <s v="Mar-2018"/>
    <x v="17"/>
  </r>
  <r>
    <n v="2018"/>
    <n v="3"/>
    <s v="March"/>
    <x v="52"/>
    <n v="2522.3800350000001"/>
    <n v="21"/>
    <n v="120.11"/>
    <n v="3.3333330000000001"/>
    <n v="0"/>
    <n v="0"/>
    <s v="Fix"/>
    <s v="Mar-2018"/>
    <x v="17"/>
  </r>
  <r>
    <n v="2018"/>
    <n v="3"/>
    <s v="March"/>
    <x v="51"/>
    <n v="2497.2299710000002"/>
    <n v="20"/>
    <n v="124.86"/>
    <n v="4.05"/>
    <n v="0"/>
    <n v="0"/>
    <s v="Fix"/>
    <s v="Mar-2018"/>
    <x v="17"/>
  </r>
  <r>
    <n v="2018"/>
    <n v="3"/>
    <s v="March"/>
    <x v="58"/>
    <n v="2350.7700289999998"/>
    <n v="17"/>
    <n v="138.28"/>
    <n v="4.4117639999999998"/>
    <n v="0"/>
    <n v="0"/>
    <s v="Fix"/>
    <s v="Mar-2018"/>
    <x v="17"/>
  </r>
  <r>
    <n v="2018"/>
    <n v="3"/>
    <s v="March"/>
    <x v="18"/>
    <n v="1930.5899979999999"/>
    <n v="12"/>
    <n v="160.88"/>
    <n v="3.3333330000000001"/>
    <n v="0"/>
    <n v="0"/>
    <s v="Fix"/>
    <s v="Mar-2018"/>
    <x v="17"/>
  </r>
  <r>
    <n v="2018"/>
    <n v="3"/>
    <s v="March"/>
    <x v="26"/>
    <n v="1711.9300169999999"/>
    <n v="34"/>
    <n v="50.35"/>
    <n v="4.4411759999999996"/>
    <n v="0"/>
    <n v="0"/>
    <s v="Fix"/>
    <s v="Mar-2018"/>
    <x v="17"/>
  </r>
  <r>
    <n v="2018"/>
    <n v="3"/>
    <s v="March"/>
    <x v="27"/>
    <n v="1559.900003"/>
    <n v="33"/>
    <n v="47.27"/>
    <n v="3.818181"/>
    <n v="0"/>
    <n v="0"/>
    <s v="Fix"/>
    <s v="Mar-2018"/>
    <x v="17"/>
  </r>
  <r>
    <n v="2018"/>
    <n v="3"/>
    <s v="March"/>
    <x v="14"/>
    <n v="1548.7400050000001"/>
    <n v="16"/>
    <n v="96.8"/>
    <n v="3.5"/>
    <n v="0"/>
    <n v="0"/>
    <s v="Fix"/>
    <s v="Mar-2018"/>
    <x v="17"/>
  </r>
  <r>
    <n v="2018"/>
    <n v="3"/>
    <s v="March"/>
    <x v="30"/>
    <n v="1252.799994"/>
    <n v="12"/>
    <n v="104.4"/>
    <n v="3.25"/>
    <n v="0"/>
    <n v="0"/>
    <s v="Fix"/>
    <s v="Mar-2018"/>
    <x v="17"/>
  </r>
  <r>
    <n v="2018"/>
    <n v="3"/>
    <s v="March"/>
    <x v="43"/>
    <n v="1071.8000030000001"/>
    <n v="6"/>
    <n v="178.63"/>
    <n v="4.1666660000000002"/>
    <n v="0"/>
    <n v="0"/>
    <s v="Fix"/>
    <s v="Mar-2018"/>
    <x v="17"/>
  </r>
  <r>
    <n v="2018"/>
    <n v="3"/>
    <s v="March"/>
    <x v="56"/>
    <n v="962.70001600000001"/>
    <n v="20"/>
    <n v="48.14"/>
    <n v="3.9"/>
    <n v="0"/>
    <n v="0"/>
    <s v="Fix"/>
    <s v="Mar-2018"/>
    <x v="17"/>
  </r>
  <r>
    <n v="2018"/>
    <n v="3"/>
    <s v="March"/>
    <x v="61"/>
    <n v="931.29999729999997"/>
    <n v="8"/>
    <n v="116.41"/>
    <n v="4.125"/>
    <n v="0"/>
    <n v="0"/>
    <s v="Fix"/>
    <s v="Mar-2018"/>
    <x v="17"/>
  </r>
  <r>
    <n v="2018"/>
    <n v="3"/>
    <s v="March"/>
    <x v="59"/>
    <n v="921.90000150000003"/>
    <n v="7"/>
    <n v="131.69999999999999"/>
    <n v="3.8571420000000001"/>
    <n v="0"/>
    <n v="0"/>
    <s v="Fix"/>
    <s v="Mar-2018"/>
    <x v="17"/>
  </r>
  <r>
    <n v="2018"/>
    <n v="3"/>
    <s v="March"/>
    <x v="71"/>
    <n v="913.89999580000006"/>
    <n v="5"/>
    <n v="182.78"/>
    <n v="3.6"/>
    <n v="0"/>
    <n v="0"/>
    <s v="Fix"/>
    <s v="Mar-2018"/>
    <x v="17"/>
  </r>
  <r>
    <n v="2018"/>
    <n v="3"/>
    <s v="March"/>
    <x v="23"/>
    <n v="913.47001550000004"/>
    <n v="17"/>
    <n v="53.73"/>
    <n v="4.1764700000000001"/>
    <n v="0"/>
    <n v="0"/>
    <s v="Fix"/>
    <s v="Mar-2018"/>
    <x v="17"/>
  </r>
  <r>
    <n v="2018"/>
    <n v="3"/>
    <s v="March"/>
    <x v="64"/>
    <n v="854.95000930000003"/>
    <n v="12"/>
    <n v="71.25"/>
    <n v="3"/>
    <n v="0"/>
    <n v="0"/>
    <s v="Fix"/>
    <s v="Mar-2018"/>
    <x v="17"/>
  </r>
  <r>
    <n v="2018"/>
    <n v="3"/>
    <s v="March"/>
    <x v="55"/>
    <n v="711.78998950000005"/>
    <n v="6"/>
    <n v="118.63"/>
    <n v="2.5"/>
    <n v="0"/>
    <n v="0"/>
    <s v="Fix"/>
    <s v="Mar-2018"/>
    <x v="17"/>
  </r>
  <r>
    <n v="2018"/>
    <n v="3"/>
    <s v="March"/>
    <x v="57"/>
    <n v="461.50000189999997"/>
    <n v="7"/>
    <n v="65.930000000000007"/>
    <n v="3.571428"/>
    <n v="0"/>
    <n v="0"/>
    <s v="Fix"/>
    <s v="Mar-2018"/>
    <x v="17"/>
  </r>
  <r>
    <n v="2018"/>
    <n v="3"/>
    <s v="March"/>
    <x v="63"/>
    <n v="440"/>
    <n v="4"/>
    <n v="110"/>
    <n v="3.75"/>
    <n v="0"/>
    <n v="0"/>
    <s v="Fix"/>
    <s v="Mar-2018"/>
    <x v="17"/>
  </r>
  <r>
    <n v="2018"/>
    <n v="3"/>
    <s v="March"/>
    <x v="65"/>
    <n v="389"/>
    <n v="1"/>
    <n v="389"/>
    <n v="4"/>
    <n v="0"/>
    <n v="0"/>
    <s v="Fix"/>
    <s v="Mar-2018"/>
    <x v="17"/>
  </r>
  <r>
    <n v="2018"/>
    <n v="3"/>
    <s v="March"/>
    <x v="47"/>
    <n v="323.96999929999998"/>
    <n v="2"/>
    <n v="161.97999999999999"/>
    <n v="3"/>
    <n v="0"/>
    <n v="0"/>
    <s v="Fix"/>
    <s v="Mar-2018"/>
    <x v="17"/>
  </r>
  <r>
    <n v="2018"/>
    <n v="3"/>
    <s v="March"/>
    <x v="41"/>
    <n v="289.40000529999998"/>
    <n v="5"/>
    <n v="57.88"/>
    <n v="3"/>
    <n v="0"/>
    <n v="0"/>
    <s v="Fix"/>
    <s v="Mar-2018"/>
    <x v="17"/>
  </r>
  <r>
    <n v="2018"/>
    <n v="3"/>
    <s v="March"/>
    <x v="48"/>
    <n v="259.2900047"/>
    <n v="2"/>
    <n v="129.65"/>
    <n v="4.5"/>
    <n v="0"/>
    <n v="0"/>
    <s v="Fix"/>
    <s v="Mar-2018"/>
    <x v="17"/>
  </r>
  <r>
    <n v="2018"/>
    <n v="3"/>
    <s v="March"/>
    <x v="54"/>
    <n v="259"/>
    <n v="2"/>
    <n v="129.5"/>
    <n v="5"/>
    <n v="0"/>
    <n v="0"/>
    <s v="Fix"/>
    <s v="Mar-2018"/>
    <x v="17"/>
  </r>
  <r>
    <n v="2018"/>
    <n v="3"/>
    <s v="March"/>
    <x v="25"/>
    <n v="163"/>
    <n v="2"/>
    <n v="81.5"/>
    <n v="2"/>
    <n v="0"/>
    <n v="0"/>
    <s v="Fix"/>
    <s v="Mar-2018"/>
    <x v="17"/>
  </r>
  <r>
    <n v="2018"/>
    <n v="3"/>
    <s v="March"/>
    <x v="29"/>
    <n v="119.9599991"/>
    <n v="1"/>
    <n v="119.96"/>
    <n v="4"/>
    <n v="0"/>
    <n v="0"/>
    <s v="Fix"/>
    <s v="Mar-2018"/>
    <x v="17"/>
  </r>
  <r>
    <n v="2018"/>
    <n v="3"/>
    <s v="March"/>
    <x v="60"/>
    <n v="89.900001529999997"/>
    <n v="1"/>
    <n v="89.9"/>
    <n v="5"/>
    <n v="0"/>
    <n v="0"/>
    <s v="Fix"/>
    <s v="Mar-2018"/>
    <x v="17"/>
  </r>
  <r>
    <n v="2018"/>
    <n v="3"/>
    <s v="March"/>
    <x v="72"/>
    <n v="89.66999817"/>
    <n v="3"/>
    <n v="29.89"/>
    <n v="5"/>
    <n v="0"/>
    <n v="0"/>
    <s v="Fix"/>
    <s v="Mar-2018"/>
    <x v="17"/>
  </r>
  <r>
    <n v="2018"/>
    <n v="3"/>
    <s v="March"/>
    <x v="66"/>
    <n v="79.980003359999998"/>
    <n v="2"/>
    <n v="39.99"/>
    <n v="5"/>
    <n v="0"/>
    <n v="0"/>
    <s v="Fix"/>
    <s v="Mar-2018"/>
    <x v="17"/>
  </r>
  <r>
    <n v="2018"/>
    <n v="3"/>
    <s v="March"/>
    <x v="46"/>
    <n v="49.799999239999998"/>
    <n v="2"/>
    <n v="24.9"/>
    <n v="5"/>
    <n v="0"/>
    <n v="0"/>
    <s v="Fix"/>
    <s v="Mar-2018"/>
    <x v="17"/>
  </r>
  <r>
    <n v="2018"/>
    <n v="3"/>
    <s v="March"/>
    <x v="44"/>
    <n v="34.990001679999999"/>
    <n v="1"/>
    <n v="34.99"/>
    <n v="5"/>
    <n v="0"/>
    <n v="0"/>
    <s v="Fix"/>
    <s v="Mar-2018"/>
    <x v="17"/>
  </r>
  <r>
    <n v="2018"/>
    <n v="4"/>
    <s v="April"/>
    <x v="6"/>
    <n v="92658.569919999994"/>
    <n v="473"/>
    <n v="195.9"/>
    <n v="4.2515989999999997"/>
    <n v="0"/>
    <n v="0"/>
    <s v="Fix"/>
    <s v="Apr-2018"/>
    <x v="18"/>
  </r>
  <r>
    <n v="2018"/>
    <n v="4"/>
    <s v="April"/>
    <x v="0"/>
    <n v="91751.039990000005"/>
    <n v="626"/>
    <n v="146.57"/>
    <n v="4.2258060000000004"/>
    <n v="0"/>
    <n v="0"/>
    <s v="Fix"/>
    <s v="Apr-2018"/>
    <x v="18"/>
  </r>
  <r>
    <n v="2018"/>
    <n v="4"/>
    <s v="April"/>
    <x v="21"/>
    <n v="72357.249859999996"/>
    <n v="608"/>
    <n v="119.01"/>
    <n v="4.0408330000000001"/>
    <n v="1"/>
    <n v="0.16"/>
    <s v="Fix"/>
    <s v="Apr-2018"/>
    <x v="18"/>
  </r>
  <r>
    <n v="2018"/>
    <n v="4"/>
    <s v="April"/>
    <x v="7"/>
    <n v="67528.07978"/>
    <n v="532"/>
    <n v="126.93"/>
    <n v="4.2471690000000004"/>
    <n v="2"/>
    <n v="0.38"/>
    <s v="Fix"/>
    <s v="Apr-2018"/>
    <x v="18"/>
  </r>
  <r>
    <n v="2018"/>
    <n v="4"/>
    <s v="April"/>
    <x v="11"/>
    <n v="59651.199780000003"/>
    <n v="481"/>
    <n v="124.01"/>
    <n v="4.0691819999999996"/>
    <n v="1"/>
    <n v="0.21"/>
    <s v="Fix"/>
    <s v="Apr-2018"/>
    <x v="18"/>
  </r>
  <r>
    <n v="2018"/>
    <n v="4"/>
    <s v="April"/>
    <x v="1"/>
    <n v="56793.010199999997"/>
    <n v="466"/>
    <n v="121.87"/>
    <n v="4.165591"/>
    <n v="1"/>
    <n v="0.21"/>
    <s v="Fix"/>
    <s v="Apr-2018"/>
    <x v="18"/>
  </r>
  <r>
    <n v="2018"/>
    <n v="4"/>
    <s v="April"/>
    <x v="10"/>
    <n v="49821.839899999999"/>
    <n v="222"/>
    <n v="224.42"/>
    <n v="3.9638"/>
    <n v="1"/>
    <n v="0.45"/>
    <s v="Fix"/>
    <s v="Apr-2018"/>
    <x v="18"/>
  </r>
  <r>
    <n v="2018"/>
    <n v="4"/>
    <s v="April"/>
    <x v="8"/>
    <n v="49629.190139999999"/>
    <n v="336"/>
    <n v="147.71"/>
    <n v="4.1160709999999998"/>
    <n v="1"/>
    <n v="0.3"/>
    <s v="Fix"/>
    <s v="Apr-2018"/>
    <x v="18"/>
  </r>
  <r>
    <n v="2018"/>
    <n v="4"/>
    <s v="April"/>
    <x v="16"/>
    <n v="45405.959909999998"/>
    <n v="420"/>
    <n v="108.11"/>
    <n v="4.100238"/>
    <n v="0"/>
    <n v="0"/>
    <s v="Fix"/>
    <s v="Apr-2018"/>
    <x v="18"/>
  </r>
  <r>
    <n v="2018"/>
    <n v="4"/>
    <s v="April"/>
    <x v="17"/>
    <n v="35202.399980000002"/>
    <n v="195"/>
    <n v="180.53"/>
    <n v="4.2486769999999998"/>
    <n v="1"/>
    <n v="0.51"/>
    <s v="Fix"/>
    <s v="Apr-2018"/>
    <x v="18"/>
  </r>
  <r>
    <n v="2018"/>
    <n v="4"/>
    <s v="April"/>
    <x v="12"/>
    <n v="35037.640180000002"/>
    <n v="238"/>
    <n v="147.22"/>
    <n v="4.1603370000000002"/>
    <n v="0"/>
    <n v="0"/>
    <s v="Fix"/>
    <s v="Apr-2018"/>
    <x v="18"/>
  </r>
  <r>
    <n v="2018"/>
    <n v="4"/>
    <s v="April"/>
    <x v="4"/>
    <n v="23352.38017"/>
    <n v="196"/>
    <n v="119.14"/>
    <n v="4.2680410000000002"/>
    <n v="1"/>
    <n v="0.51"/>
    <s v="Fix"/>
    <s v="Apr-2018"/>
    <x v="18"/>
  </r>
  <r>
    <n v="2018"/>
    <n v="4"/>
    <s v="April"/>
    <x v="33"/>
    <n v="20741.689989999999"/>
    <n v="23"/>
    <n v="901.81"/>
    <n v="4.4782599999999997"/>
    <n v="0"/>
    <n v="0"/>
    <s v="Fix"/>
    <s v="Apr-2018"/>
    <x v="18"/>
  </r>
  <r>
    <n v="2018"/>
    <n v="4"/>
    <s v="April"/>
    <x v="15"/>
    <n v="20194.719829999998"/>
    <n v="88"/>
    <n v="229.49"/>
    <n v="3.6839080000000002"/>
    <n v="0"/>
    <n v="0"/>
    <s v="Fix"/>
    <s v="Apr-2018"/>
    <x v="18"/>
  </r>
  <r>
    <n v="2018"/>
    <n v="4"/>
    <s v="April"/>
    <x v="38"/>
    <n v="19375.310030000001"/>
    <n v="57"/>
    <n v="339.92"/>
    <n v="4.4035080000000004"/>
    <n v="0"/>
    <n v="0"/>
    <s v="Fix"/>
    <s v="Apr-2018"/>
    <x v="18"/>
  </r>
  <r>
    <n v="2018"/>
    <n v="4"/>
    <s v="April"/>
    <x v="19"/>
    <n v="18778.300090000001"/>
    <n v="153"/>
    <n v="122.73"/>
    <n v="4.1710520000000004"/>
    <n v="1"/>
    <n v="0.65"/>
    <s v="Fix"/>
    <s v="Apr-2018"/>
    <x v="18"/>
  </r>
  <r>
    <n v="2018"/>
    <n v="4"/>
    <s v="April"/>
    <x v="3"/>
    <n v="17790.309939999999"/>
    <n v="160"/>
    <n v="111.19"/>
    <n v="4.2562499999999996"/>
    <n v="0"/>
    <n v="0"/>
    <s v="Fix"/>
    <s v="Apr-2018"/>
    <x v="18"/>
  </r>
  <r>
    <n v="2018"/>
    <n v="4"/>
    <s v="April"/>
    <x v="2"/>
    <n v="16636.84002"/>
    <n v="250"/>
    <n v="66.55"/>
    <n v="3.979838"/>
    <n v="0"/>
    <n v="0"/>
    <s v="Fix"/>
    <s v="Apr-2018"/>
    <x v="18"/>
  </r>
  <r>
    <n v="2018"/>
    <n v="4"/>
    <s v="April"/>
    <x v="49"/>
    <n v="15124.24999"/>
    <n v="106"/>
    <n v="142.68"/>
    <n v="4.1179240000000004"/>
    <n v="0"/>
    <n v="0"/>
    <s v="Fix"/>
    <s v="Apr-2018"/>
    <x v="18"/>
  </r>
  <r>
    <n v="2018"/>
    <n v="4"/>
    <s v="April"/>
    <x v="68"/>
    <n v="13980.980009999999"/>
    <n v="15"/>
    <n v="932.07"/>
    <n v="4.0666659999999997"/>
    <n v="0"/>
    <n v="0"/>
    <s v="Fix"/>
    <s v="Apr-2018"/>
    <x v="18"/>
  </r>
  <r>
    <n v="2018"/>
    <n v="4"/>
    <s v="April"/>
    <x v="32"/>
    <n v="13774.91992"/>
    <n v="13"/>
    <n v="1059.6099999999999"/>
    <n v="4.3076920000000003"/>
    <n v="0"/>
    <n v="0"/>
    <s v="Fix"/>
    <s v="Apr-2018"/>
    <x v="18"/>
  </r>
  <r>
    <n v="2018"/>
    <n v="4"/>
    <s v="April"/>
    <x v="39"/>
    <n v="13293.829970000001"/>
    <n v="78"/>
    <n v="170.43"/>
    <n v="4.0259739999999997"/>
    <n v="0"/>
    <n v="0"/>
    <s v="Fix"/>
    <s v="Apr-2018"/>
    <x v="18"/>
  </r>
  <r>
    <n v="2018"/>
    <n v="4"/>
    <s v="April"/>
    <x v="34"/>
    <n v="12211.409949999999"/>
    <n v="61"/>
    <n v="200.19"/>
    <n v="4.4098360000000003"/>
    <n v="1"/>
    <n v="1.64"/>
    <s v="Fix"/>
    <s v="Apr-2018"/>
    <x v="18"/>
  </r>
  <r>
    <n v="2018"/>
    <n v="4"/>
    <s v="April"/>
    <x v="35"/>
    <n v="11701.35003"/>
    <n v="131"/>
    <n v="89.32"/>
    <n v="4.3643409999999996"/>
    <n v="0"/>
    <n v="0"/>
    <s v="Fix"/>
    <s v="Apr-2018"/>
    <x v="18"/>
  </r>
  <r>
    <n v="2018"/>
    <n v="4"/>
    <s v="April"/>
    <x v="13"/>
    <n v="11022.42992"/>
    <n v="203"/>
    <n v="54.3"/>
    <n v="4.0742570000000002"/>
    <n v="0"/>
    <n v="0"/>
    <s v="Fix"/>
    <s v="Apr-2018"/>
    <x v="18"/>
  </r>
  <r>
    <n v="2018"/>
    <n v="4"/>
    <s v="April"/>
    <x v="50"/>
    <n v="9318.4999769999995"/>
    <n v="59"/>
    <n v="157.94"/>
    <n v="3.8644059999999998"/>
    <n v="0"/>
    <n v="0"/>
    <s v="Fix"/>
    <s v="Apr-2018"/>
    <x v="18"/>
  </r>
  <r>
    <n v="2018"/>
    <n v="4"/>
    <s v="April"/>
    <x v="20"/>
    <n v="9030.8500230000009"/>
    <n v="96"/>
    <n v="94.07"/>
    <n v="4.3510629999999999"/>
    <n v="1"/>
    <n v="1.04"/>
    <s v="Fix"/>
    <s v="Apr-2018"/>
    <x v="18"/>
  </r>
  <r>
    <n v="2018"/>
    <n v="4"/>
    <s v="April"/>
    <x v="37"/>
    <n v="8680.4799270000003"/>
    <n v="53"/>
    <n v="163.78"/>
    <n v="4.4905660000000003"/>
    <n v="0"/>
    <n v="0"/>
    <s v="Fix"/>
    <s v="Apr-2018"/>
    <x v="18"/>
  </r>
  <r>
    <n v="2018"/>
    <n v="4"/>
    <s v="April"/>
    <x v="28"/>
    <n v="8240.6600240000007"/>
    <n v="74"/>
    <n v="111.36"/>
    <s v="NULL"/>
    <s v="NULL"/>
    <s v="NULL"/>
    <s v="Fix"/>
    <s v="Apr-2018"/>
    <x v="18"/>
  </r>
  <r>
    <n v="2018"/>
    <n v="4"/>
    <s v="April"/>
    <x v="5"/>
    <n v="7239.4000079999996"/>
    <n v="43"/>
    <n v="168.36"/>
    <n v="3.809523"/>
    <n v="3"/>
    <n v="6.98"/>
    <s v="Fix"/>
    <s v="Apr-2018"/>
    <x v="18"/>
  </r>
  <r>
    <n v="2018"/>
    <n v="4"/>
    <s v="April"/>
    <x v="24"/>
    <n v="7045.0698849999999"/>
    <n v="30"/>
    <n v="234.84"/>
    <n v="4.0666659999999997"/>
    <n v="0"/>
    <n v="0"/>
    <s v="Fix"/>
    <s v="Apr-2018"/>
    <x v="18"/>
  </r>
  <r>
    <n v="2018"/>
    <n v="4"/>
    <s v="April"/>
    <x v="26"/>
    <n v="6295.5101130000003"/>
    <n v="43"/>
    <n v="146.41"/>
    <n v="4.3953480000000003"/>
    <n v="0"/>
    <n v="0"/>
    <s v="Fix"/>
    <s v="Apr-2018"/>
    <x v="18"/>
  </r>
  <r>
    <n v="2018"/>
    <n v="4"/>
    <s v="April"/>
    <x v="22"/>
    <n v="5690.610001"/>
    <n v="48"/>
    <n v="118.55"/>
    <n v="4.2916660000000002"/>
    <n v="0"/>
    <n v="0"/>
    <s v="Fix"/>
    <s v="Apr-2018"/>
    <x v="18"/>
  </r>
  <r>
    <n v="2018"/>
    <n v="4"/>
    <s v="April"/>
    <x v="36"/>
    <n v="5133.729961"/>
    <n v="25"/>
    <n v="205.35"/>
    <n v="2.92"/>
    <n v="0"/>
    <n v="0"/>
    <s v="Fix"/>
    <s v="Apr-2018"/>
    <x v="18"/>
  </r>
  <r>
    <n v="2018"/>
    <n v="4"/>
    <s v="April"/>
    <x v="56"/>
    <n v="5016.4399030000004"/>
    <n v="29"/>
    <n v="172.98"/>
    <n v="4.3793100000000003"/>
    <n v="0"/>
    <n v="0"/>
    <s v="Fix"/>
    <s v="Apr-2018"/>
    <x v="18"/>
  </r>
  <r>
    <n v="2018"/>
    <n v="4"/>
    <s v="April"/>
    <x v="69"/>
    <n v="4962.6700099999998"/>
    <n v="37"/>
    <n v="134.13"/>
    <n v="3.914285"/>
    <n v="0"/>
    <n v="0"/>
    <s v="Fix"/>
    <s v="Apr-2018"/>
    <x v="18"/>
  </r>
  <r>
    <n v="2018"/>
    <n v="4"/>
    <s v="April"/>
    <x v="45"/>
    <n v="4500.7000500000004"/>
    <n v="12"/>
    <n v="375.06"/>
    <n v="4"/>
    <n v="0"/>
    <n v="0"/>
    <s v="Fix"/>
    <s v="Apr-2018"/>
    <x v="18"/>
  </r>
  <r>
    <n v="2018"/>
    <n v="4"/>
    <s v="April"/>
    <x v="9"/>
    <n v="3261.789976"/>
    <n v="22"/>
    <n v="148.26"/>
    <n v="4.571428"/>
    <n v="0"/>
    <n v="0"/>
    <s v="Fix"/>
    <s v="Apr-2018"/>
    <x v="18"/>
  </r>
  <r>
    <n v="2018"/>
    <n v="4"/>
    <s v="April"/>
    <x v="42"/>
    <n v="3165.469975"/>
    <n v="19"/>
    <n v="166.6"/>
    <n v="4.1666660000000002"/>
    <n v="0"/>
    <n v="0"/>
    <s v="Fix"/>
    <s v="Apr-2018"/>
    <x v="18"/>
  </r>
  <r>
    <n v="2018"/>
    <n v="4"/>
    <s v="April"/>
    <x v="53"/>
    <n v="2887.26001"/>
    <n v="23"/>
    <n v="125.53"/>
    <n v="4.0454540000000003"/>
    <n v="0"/>
    <n v="0"/>
    <s v="Fix"/>
    <s v="Apr-2018"/>
    <x v="18"/>
  </r>
  <r>
    <n v="2018"/>
    <n v="4"/>
    <s v="April"/>
    <x v="59"/>
    <n v="2222.300013"/>
    <n v="22"/>
    <n v="101.01"/>
    <n v="4.0909089999999999"/>
    <n v="0"/>
    <n v="0"/>
    <s v="Fix"/>
    <s v="Apr-2018"/>
    <x v="18"/>
  </r>
  <r>
    <n v="2018"/>
    <n v="4"/>
    <s v="April"/>
    <x v="57"/>
    <n v="2140.2799799999998"/>
    <n v="26"/>
    <n v="82.32"/>
    <n v="4.5"/>
    <n v="0"/>
    <n v="0"/>
    <s v="Fix"/>
    <s v="Apr-2018"/>
    <x v="18"/>
  </r>
  <r>
    <n v="2018"/>
    <n v="4"/>
    <s v="April"/>
    <x v="52"/>
    <n v="1939.4000209999999"/>
    <n v="15"/>
    <n v="129.29"/>
    <n v="3.9333330000000002"/>
    <n v="0"/>
    <n v="0"/>
    <s v="Fix"/>
    <s v="Apr-2018"/>
    <x v="18"/>
  </r>
  <r>
    <n v="2018"/>
    <n v="4"/>
    <s v="April"/>
    <x v="18"/>
    <n v="1921.939991"/>
    <n v="10"/>
    <n v="192.19"/>
    <n v="3.4"/>
    <n v="0"/>
    <n v="0"/>
    <s v="Fix"/>
    <s v="Apr-2018"/>
    <x v="18"/>
  </r>
  <r>
    <n v="2018"/>
    <n v="4"/>
    <s v="April"/>
    <x v="47"/>
    <n v="1696.859964"/>
    <n v="5"/>
    <n v="339.37"/>
    <n v="4"/>
    <n v="0"/>
    <n v="0"/>
    <s v="Fix"/>
    <s v="Apr-2018"/>
    <x v="18"/>
  </r>
  <r>
    <n v="2018"/>
    <n v="4"/>
    <s v="April"/>
    <x v="27"/>
    <n v="1665.430014"/>
    <n v="36"/>
    <n v="46.26"/>
    <n v="4.4000000000000004"/>
    <n v="0"/>
    <n v="0"/>
    <s v="Fix"/>
    <s v="Apr-2018"/>
    <x v="18"/>
  </r>
  <r>
    <n v="2018"/>
    <n v="4"/>
    <s v="April"/>
    <x v="43"/>
    <n v="1470.9000020000001"/>
    <n v="7"/>
    <n v="210.13"/>
    <n v="3.8571420000000001"/>
    <n v="0"/>
    <n v="0"/>
    <s v="Fix"/>
    <s v="Apr-2018"/>
    <x v="18"/>
  </r>
  <r>
    <n v="2018"/>
    <n v="4"/>
    <s v="April"/>
    <x v="30"/>
    <n v="1438.6999740000001"/>
    <n v="11"/>
    <n v="130.79"/>
    <n v="4"/>
    <n v="0"/>
    <n v="0"/>
    <s v="Fix"/>
    <s v="Apr-2018"/>
    <x v="18"/>
  </r>
  <r>
    <n v="2018"/>
    <n v="4"/>
    <s v="April"/>
    <x v="61"/>
    <n v="1332.9900150000001"/>
    <n v="16"/>
    <n v="83.31"/>
    <n v="4.3125"/>
    <n v="0"/>
    <n v="0"/>
    <s v="Fix"/>
    <s v="Apr-2018"/>
    <x v="18"/>
  </r>
  <r>
    <n v="2018"/>
    <n v="4"/>
    <s v="April"/>
    <x v="51"/>
    <n v="1326.7900010000001"/>
    <n v="12"/>
    <n v="110.57"/>
    <n v="4.5"/>
    <n v="0"/>
    <n v="0"/>
    <s v="Fix"/>
    <s v="Apr-2018"/>
    <x v="18"/>
  </r>
  <r>
    <n v="2018"/>
    <n v="4"/>
    <s v="April"/>
    <x v="23"/>
    <n v="1172.1000200000001"/>
    <n v="23"/>
    <n v="50.96"/>
    <n v="4.4782599999999997"/>
    <n v="0"/>
    <n v="0"/>
    <s v="Fix"/>
    <s v="Apr-2018"/>
    <x v="18"/>
  </r>
  <r>
    <n v="2018"/>
    <n v="4"/>
    <s v="April"/>
    <x v="14"/>
    <n v="627.23001099999999"/>
    <n v="15"/>
    <n v="41.82"/>
    <n v="4.5999999999999996"/>
    <n v="0"/>
    <n v="0"/>
    <s v="Fix"/>
    <s v="Apr-2018"/>
    <x v="18"/>
  </r>
  <r>
    <n v="2018"/>
    <n v="4"/>
    <s v="April"/>
    <x v="58"/>
    <n v="605.07000919999996"/>
    <n v="16"/>
    <n v="37.82"/>
    <n v="4.5"/>
    <n v="0"/>
    <n v="0"/>
    <s v="Fix"/>
    <s v="Apr-2018"/>
    <x v="18"/>
  </r>
  <r>
    <n v="2018"/>
    <n v="4"/>
    <s v="April"/>
    <x v="55"/>
    <n v="521.73999790000005"/>
    <n v="5"/>
    <n v="104.35"/>
    <n v="4.4000000000000004"/>
    <n v="0"/>
    <n v="0"/>
    <s v="Fix"/>
    <s v="Apr-2018"/>
    <x v="18"/>
  </r>
  <r>
    <n v="2018"/>
    <n v="4"/>
    <s v="April"/>
    <x v="41"/>
    <n v="359.4000092"/>
    <n v="6"/>
    <n v="59.9"/>
    <n v="4.1666660000000002"/>
    <n v="0"/>
    <n v="0"/>
    <s v="Fix"/>
    <s v="Apr-2018"/>
    <x v="18"/>
  </r>
  <r>
    <n v="2018"/>
    <n v="4"/>
    <s v="April"/>
    <x v="54"/>
    <n v="317.98999980000002"/>
    <n v="4"/>
    <n v="79.5"/>
    <n v="4.75"/>
    <n v="0"/>
    <n v="0"/>
    <s v="Fix"/>
    <s v="Apr-2018"/>
    <x v="18"/>
  </r>
  <r>
    <n v="2018"/>
    <n v="4"/>
    <s v="April"/>
    <x v="65"/>
    <n v="280"/>
    <n v="1"/>
    <n v="280"/>
    <n v="1"/>
    <n v="0"/>
    <n v="0"/>
    <s v="Fix"/>
    <s v="Apr-2018"/>
    <x v="18"/>
  </r>
  <r>
    <n v="2018"/>
    <n v="4"/>
    <s v="April"/>
    <x v="64"/>
    <n v="275.1500039"/>
    <n v="9"/>
    <n v="30.57"/>
    <n v="4.555555"/>
    <n v="0"/>
    <n v="0"/>
    <s v="Fix"/>
    <s v="Apr-2018"/>
    <x v="18"/>
  </r>
  <r>
    <n v="2018"/>
    <n v="4"/>
    <s v="April"/>
    <x v="31"/>
    <n v="195"/>
    <n v="1"/>
    <n v="195"/>
    <s v="NULL"/>
    <n v="0"/>
    <n v="0"/>
    <s v="Fix"/>
    <s v="Apr-2018"/>
    <x v="18"/>
  </r>
  <r>
    <n v="2018"/>
    <n v="4"/>
    <s v="April"/>
    <x v="29"/>
    <n v="174.9500084"/>
    <n v="1"/>
    <n v="174.95"/>
    <n v="4"/>
    <n v="0"/>
    <n v="0"/>
    <s v="Fix"/>
    <s v="Apr-2018"/>
    <x v="18"/>
  </r>
  <r>
    <n v="2018"/>
    <n v="4"/>
    <s v="April"/>
    <x v="72"/>
    <n v="158.4000015"/>
    <n v="3"/>
    <n v="52.8"/>
    <n v="3.3333330000000001"/>
    <n v="0"/>
    <n v="0"/>
    <s v="Fix"/>
    <s v="Apr-2018"/>
    <x v="18"/>
  </r>
  <r>
    <n v="2018"/>
    <n v="4"/>
    <s v="April"/>
    <x v="25"/>
    <n v="149"/>
    <n v="4"/>
    <n v="37.25"/>
    <n v="4.25"/>
    <n v="0"/>
    <n v="0"/>
    <s v="Fix"/>
    <s v="Apr-2018"/>
    <x v="18"/>
  </r>
  <r>
    <n v="2018"/>
    <n v="4"/>
    <s v="April"/>
    <x v="46"/>
    <n v="92.499998090000005"/>
    <n v="4"/>
    <n v="23.12"/>
    <n v="4.25"/>
    <n v="0"/>
    <n v="0"/>
    <s v="Fix"/>
    <s v="Apr-2018"/>
    <x v="18"/>
  </r>
  <r>
    <n v="2018"/>
    <n v="4"/>
    <s v="April"/>
    <x v="60"/>
    <n v="89.900001529999997"/>
    <n v="1"/>
    <n v="89.9"/>
    <n v="5"/>
    <n v="0"/>
    <n v="0"/>
    <s v="Fix"/>
    <s v="Apr-2018"/>
    <x v="18"/>
  </r>
  <r>
    <n v="2018"/>
    <n v="4"/>
    <s v="April"/>
    <x v="70"/>
    <n v="65"/>
    <n v="1"/>
    <n v="65"/>
    <n v="5"/>
    <n v="0"/>
    <n v="0"/>
    <s v="Fix"/>
    <s v="Apr-2018"/>
    <x v="18"/>
  </r>
  <r>
    <n v="2018"/>
    <n v="4"/>
    <s v="April"/>
    <x v="48"/>
    <n v="52"/>
    <n v="1"/>
    <n v="52"/>
    <n v="5"/>
    <n v="0"/>
    <n v="0"/>
    <s v="Fix"/>
    <s v="Apr-2018"/>
    <x v="18"/>
  </r>
  <r>
    <n v="2018"/>
    <n v="4"/>
    <s v="April"/>
    <x v="71"/>
    <n v="43.799999239999998"/>
    <n v="1"/>
    <n v="43.8"/>
    <n v="1"/>
    <n v="0"/>
    <n v="0"/>
    <s v="Fix"/>
    <s v="Apr-2018"/>
    <x v="18"/>
  </r>
  <r>
    <n v="2018"/>
    <n v="4"/>
    <s v="April"/>
    <x v="67"/>
    <n v="15.989999770000001"/>
    <n v="1"/>
    <n v="15.99"/>
    <n v="4"/>
    <n v="0"/>
    <n v="0"/>
    <s v="Fix"/>
    <s v="Apr-2018"/>
    <x v="18"/>
  </r>
  <r>
    <n v="2018"/>
    <n v="4"/>
    <s v="April"/>
    <x v="44"/>
    <n v="12.899999619999999"/>
    <n v="1"/>
    <n v="12.9"/>
    <n v="1"/>
    <n v="0"/>
    <n v="0"/>
    <s v="Fix"/>
    <s v="Apr-2018"/>
    <x v="18"/>
  </r>
  <r>
    <n v="2018"/>
    <n v="5"/>
    <s v="May"/>
    <x v="6"/>
    <n v="123872.66009999999"/>
    <n v="596"/>
    <n v="207.84"/>
    <n v="4.0495789999999996"/>
    <n v="0"/>
    <n v="0"/>
    <s v="Fix"/>
    <s v="May-2018"/>
    <x v="19"/>
  </r>
  <r>
    <n v="2018"/>
    <n v="5"/>
    <s v="May"/>
    <x v="0"/>
    <n v="96460.359719999993"/>
    <n v="686"/>
    <n v="140.61000000000001"/>
    <n v="4.2327959999999996"/>
    <n v="5"/>
    <n v="0.73"/>
    <s v="Fix"/>
    <s v="May-2018"/>
    <x v="19"/>
  </r>
  <r>
    <n v="2018"/>
    <n v="5"/>
    <s v="May"/>
    <x v="21"/>
    <n v="71702.769679999998"/>
    <n v="606"/>
    <n v="118.32"/>
    <n v="4.0784640000000003"/>
    <n v="1"/>
    <n v="0.17"/>
    <s v="Fix"/>
    <s v="May-2018"/>
    <x v="19"/>
  </r>
  <r>
    <n v="2018"/>
    <n v="5"/>
    <s v="May"/>
    <x v="16"/>
    <n v="63003.57"/>
    <n v="493"/>
    <n v="127.8"/>
    <n v="4.2862980000000004"/>
    <n v="0"/>
    <n v="0"/>
    <s v="Fix"/>
    <s v="May-2018"/>
    <x v="19"/>
  </r>
  <r>
    <n v="2018"/>
    <n v="5"/>
    <s v="May"/>
    <x v="7"/>
    <n v="59664.109909999999"/>
    <n v="452"/>
    <n v="132"/>
    <n v="4.288888"/>
    <n v="1"/>
    <n v="0.22"/>
    <s v="Fix"/>
    <s v="May-2018"/>
    <x v="19"/>
  </r>
  <r>
    <n v="2018"/>
    <n v="5"/>
    <s v="May"/>
    <x v="1"/>
    <n v="54260.980230000001"/>
    <n v="462"/>
    <n v="117.45"/>
    <n v="4.1388280000000002"/>
    <n v="1"/>
    <n v="0.22"/>
    <s v="Fix"/>
    <s v="May-2018"/>
    <x v="19"/>
  </r>
  <r>
    <n v="2018"/>
    <n v="5"/>
    <s v="May"/>
    <x v="11"/>
    <n v="51515.729720000003"/>
    <n v="409"/>
    <n v="125.96"/>
    <n v="4.0466829999999998"/>
    <n v="1"/>
    <n v="0.24"/>
    <s v="Fix"/>
    <s v="May-2018"/>
    <x v="19"/>
  </r>
  <r>
    <n v="2018"/>
    <n v="5"/>
    <s v="May"/>
    <x v="8"/>
    <n v="40928.140149999999"/>
    <n v="298"/>
    <n v="137.34"/>
    <n v="4.161073"/>
    <n v="1"/>
    <n v="0.34"/>
    <s v="Fix"/>
    <s v="May-2018"/>
    <x v="19"/>
  </r>
  <r>
    <n v="2018"/>
    <n v="5"/>
    <s v="May"/>
    <x v="12"/>
    <n v="37863.180209999999"/>
    <n v="230"/>
    <n v="164.62"/>
    <n v="4.2973559999999997"/>
    <n v="0"/>
    <n v="0"/>
    <s v="Fix"/>
    <s v="May-2018"/>
    <x v="19"/>
  </r>
  <r>
    <n v="2018"/>
    <n v="5"/>
    <s v="May"/>
    <x v="10"/>
    <n v="34003.599950000003"/>
    <n v="224"/>
    <n v="151.80000000000001"/>
    <n v="4.1300439999999998"/>
    <n v="1"/>
    <n v="0.45"/>
    <s v="Fix"/>
    <s v="May-2018"/>
    <x v="19"/>
  </r>
  <r>
    <n v="2018"/>
    <n v="5"/>
    <s v="May"/>
    <x v="4"/>
    <n v="31767.3001"/>
    <n v="214"/>
    <n v="148.44999999999999"/>
    <n v="4.3457939999999997"/>
    <n v="1"/>
    <n v="0.47"/>
    <s v="Fix"/>
    <s v="May-2018"/>
    <x v="19"/>
  </r>
  <r>
    <n v="2018"/>
    <n v="5"/>
    <s v="May"/>
    <x v="17"/>
    <n v="30039.110049999999"/>
    <n v="169"/>
    <n v="177.75"/>
    <n v="4.1369040000000004"/>
    <n v="0"/>
    <n v="0"/>
    <s v="Fix"/>
    <s v="May-2018"/>
    <x v="19"/>
  </r>
  <r>
    <n v="2018"/>
    <n v="5"/>
    <s v="May"/>
    <x v="3"/>
    <n v="24757.699929999999"/>
    <n v="180"/>
    <n v="137.54"/>
    <n v="4.3166659999999997"/>
    <n v="0"/>
    <n v="0"/>
    <s v="Fix"/>
    <s v="May-2018"/>
    <x v="19"/>
  </r>
  <r>
    <n v="2018"/>
    <n v="5"/>
    <s v="May"/>
    <x v="2"/>
    <n v="21608.260020000002"/>
    <n v="243"/>
    <n v="88.92"/>
    <n v="4.2438010000000004"/>
    <n v="0"/>
    <n v="0"/>
    <s v="Fix"/>
    <s v="May-2018"/>
    <x v="19"/>
  </r>
  <r>
    <n v="2018"/>
    <n v="5"/>
    <s v="May"/>
    <x v="15"/>
    <n v="21005.86002"/>
    <n v="83"/>
    <n v="253.08"/>
    <n v="3.9518070000000001"/>
    <n v="0"/>
    <n v="0"/>
    <s v="Fix"/>
    <s v="May-2018"/>
    <x v="19"/>
  </r>
  <r>
    <n v="2018"/>
    <n v="5"/>
    <s v="May"/>
    <x v="39"/>
    <n v="20748.599890000001"/>
    <n v="89"/>
    <n v="233.13"/>
    <n v="4.1460670000000004"/>
    <n v="0"/>
    <n v="0"/>
    <s v="Fix"/>
    <s v="May-2018"/>
    <x v="19"/>
  </r>
  <r>
    <n v="2018"/>
    <n v="5"/>
    <s v="May"/>
    <x v="38"/>
    <n v="18757.070019999999"/>
    <n v="59"/>
    <n v="317.92"/>
    <n v="4.3220330000000002"/>
    <n v="0"/>
    <n v="0"/>
    <s v="Fix"/>
    <s v="May-2018"/>
    <x v="19"/>
  </r>
  <r>
    <n v="2018"/>
    <n v="5"/>
    <s v="May"/>
    <x v="13"/>
    <n v="16989.289919999999"/>
    <n v="223"/>
    <n v="76.19"/>
    <n v="4.3045450000000001"/>
    <n v="2"/>
    <n v="0.9"/>
    <s v="Fix"/>
    <s v="May-2018"/>
    <x v="19"/>
  </r>
  <r>
    <n v="2018"/>
    <n v="5"/>
    <s v="May"/>
    <x v="33"/>
    <n v="14441.239949999999"/>
    <n v="23"/>
    <n v="627.88"/>
    <n v="4.2608689999999996"/>
    <n v="0"/>
    <n v="0"/>
    <s v="Fix"/>
    <s v="May-2018"/>
    <x v="19"/>
  </r>
  <r>
    <n v="2018"/>
    <n v="5"/>
    <s v="May"/>
    <x v="35"/>
    <n v="12923.38999"/>
    <n v="124"/>
    <n v="104.22"/>
    <n v="4.4227639999999999"/>
    <n v="0"/>
    <n v="0"/>
    <s v="Fix"/>
    <s v="May-2018"/>
    <x v="19"/>
  </r>
  <r>
    <n v="2018"/>
    <n v="5"/>
    <s v="May"/>
    <x v="19"/>
    <n v="11708.460080000001"/>
    <n v="127"/>
    <n v="92.19"/>
    <n v="4.3015869999999996"/>
    <n v="0"/>
    <n v="0"/>
    <s v="Fix"/>
    <s v="May-2018"/>
    <x v="19"/>
  </r>
  <r>
    <n v="2018"/>
    <n v="5"/>
    <s v="May"/>
    <x v="20"/>
    <n v="11519.16"/>
    <n v="105"/>
    <n v="109.71"/>
    <n v="4.5666659999999997"/>
    <n v="0"/>
    <n v="0"/>
    <s v="Fix"/>
    <s v="May-2018"/>
    <x v="19"/>
  </r>
  <r>
    <n v="2018"/>
    <n v="5"/>
    <s v="May"/>
    <x v="34"/>
    <n v="10620.990019999999"/>
    <n v="39"/>
    <n v="272.33"/>
    <n v="4.0512819999999996"/>
    <n v="0"/>
    <n v="0"/>
    <s v="Fix"/>
    <s v="May-2018"/>
    <x v="19"/>
  </r>
  <r>
    <n v="2018"/>
    <n v="5"/>
    <s v="May"/>
    <x v="68"/>
    <n v="10161.6001"/>
    <n v="9"/>
    <n v="1129.07"/>
    <n v="4.2222220000000004"/>
    <n v="0"/>
    <n v="0"/>
    <s v="Fix"/>
    <s v="May-2018"/>
    <x v="19"/>
  </r>
  <r>
    <n v="2018"/>
    <n v="5"/>
    <s v="May"/>
    <x v="50"/>
    <n v="10155.27995"/>
    <n v="63"/>
    <n v="161.19"/>
    <n v="3.8709669999999998"/>
    <n v="0"/>
    <n v="0"/>
    <s v="Fix"/>
    <s v="May-2018"/>
    <x v="19"/>
  </r>
  <r>
    <n v="2018"/>
    <n v="5"/>
    <s v="May"/>
    <x v="32"/>
    <n v="9429.9199219999991"/>
    <n v="7"/>
    <n v="1347.13"/>
    <n v="4.2857139999999996"/>
    <n v="0"/>
    <n v="0"/>
    <s v="Fix"/>
    <s v="May-2018"/>
    <x v="19"/>
  </r>
  <r>
    <n v="2018"/>
    <n v="5"/>
    <s v="May"/>
    <x v="53"/>
    <n v="7298.5099529999998"/>
    <n v="25"/>
    <n v="291.94"/>
    <n v="3.4"/>
    <n v="1"/>
    <n v="4"/>
    <s v="Fix"/>
    <s v="May-2018"/>
    <x v="19"/>
  </r>
  <r>
    <n v="2018"/>
    <n v="5"/>
    <s v="May"/>
    <x v="37"/>
    <n v="6618.4598919999999"/>
    <n v="44"/>
    <n v="150.41999999999999"/>
    <n v="4.25"/>
    <n v="0"/>
    <n v="0"/>
    <s v="Fix"/>
    <s v="May-2018"/>
    <x v="19"/>
  </r>
  <r>
    <n v="2018"/>
    <n v="5"/>
    <s v="May"/>
    <x v="49"/>
    <n v="6149.6700060000003"/>
    <n v="63"/>
    <n v="97.61"/>
    <n v="4.071428"/>
    <n v="0"/>
    <n v="0"/>
    <s v="Fix"/>
    <s v="May-2018"/>
    <x v="19"/>
  </r>
  <r>
    <n v="2018"/>
    <n v="5"/>
    <s v="May"/>
    <x v="26"/>
    <n v="6019.0302030000003"/>
    <n v="51"/>
    <n v="118.02"/>
    <n v="4.3725490000000002"/>
    <n v="1"/>
    <n v="1.96"/>
    <s v="Fix"/>
    <s v="May-2018"/>
    <x v="19"/>
  </r>
  <r>
    <n v="2018"/>
    <n v="5"/>
    <s v="May"/>
    <x v="5"/>
    <n v="5664.07"/>
    <n v="40"/>
    <n v="141.6"/>
    <n v="3.95"/>
    <n v="0"/>
    <n v="0"/>
    <s v="Fix"/>
    <s v="May-2018"/>
    <x v="19"/>
  </r>
  <r>
    <n v="2018"/>
    <n v="5"/>
    <s v="May"/>
    <x v="69"/>
    <n v="5477.8100489999997"/>
    <n v="32"/>
    <n v="171.18"/>
    <n v="4.2258060000000004"/>
    <n v="1"/>
    <n v="3.13"/>
    <s v="Fix"/>
    <s v="May-2018"/>
    <x v="19"/>
  </r>
  <r>
    <n v="2018"/>
    <n v="5"/>
    <s v="May"/>
    <x v="22"/>
    <n v="3890.989998"/>
    <n v="35"/>
    <n v="111.17"/>
    <n v="4.1714279999999997"/>
    <n v="0"/>
    <n v="0"/>
    <s v="Fix"/>
    <s v="May-2018"/>
    <x v="19"/>
  </r>
  <r>
    <n v="2018"/>
    <n v="5"/>
    <s v="May"/>
    <x v="45"/>
    <n v="3279.749992"/>
    <n v="8"/>
    <n v="409.97"/>
    <n v="4.5"/>
    <n v="0"/>
    <n v="0"/>
    <s v="Fix"/>
    <s v="May-2018"/>
    <x v="19"/>
  </r>
  <r>
    <n v="2018"/>
    <n v="5"/>
    <s v="May"/>
    <x v="28"/>
    <n v="3136.9400220000002"/>
    <n v="38"/>
    <n v="82.55"/>
    <s v="NULL"/>
    <s v="NULL"/>
    <s v="NULL"/>
    <s v="Fix"/>
    <s v="May-2018"/>
    <x v="19"/>
  </r>
  <r>
    <n v="2018"/>
    <n v="5"/>
    <s v="May"/>
    <x v="23"/>
    <n v="3055.4799950000001"/>
    <n v="55"/>
    <n v="55.55"/>
    <n v="4.3333329999999997"/>
    <n v="0"/>
    <n v="0"/>
    <s v="Fix"/>
    <s v="May-2018"/>
    <x v="19"/>
  </r>
  <r>
    <n v="2018"/>
    <n v="5"/>
    <s v="May"/>
    <x v="56"/>
    <n v="2790.9799859999998"/>
    <n v="34"/>
    <n v="82.09"/>
    <n v="4.2352939999999997"/>
    <n v="0"/>
    <n v="0"/>
    <s v="Fix"/>
    <s v="May-2018"/>
    <x v="19"/>
  </r>
  <r>
    <n v="2018"/>
    <n v="5"/>
    <s v="May"/>
    <x v="52"/>
    <n v="2776.6000210000002"/>
    <n v="19"/>
    <n v="146.13999999999999"/>
    <n v="3.5789469999999999"/>
    <n v="0"/>
    <n v="0"/>
    <s v="Fix"/>
    <s v="May-2018"/>
    <x v="19"/>
  </r>
  <r>
    <n v="2018"/>
    <n v="5"/>
    <s v="May"/>
    <x v="36"/>
    <n v="2721.080019"/>
    <n v="13"/>
    <n v="209.31"/>
    <n v="4.0769229999999999"/>
    <n v="0"/>
    <n v="0"/>
    <s v="Fix"/>
    <s v="May-2018"/>
    <x v="19"/>
  </r>
  <r>
    <n v="2018"/>
    <n v="5"/>
    <s v="May"/>
    <x v="24"/>
    <n v="2697.679987"/>
    <n v="20"/>
    <n v="134.88"/>
    <n v="3.75"/>
    <n v="0"/>
    <n v="0"/>
    <s v="Fix"/>
    <s v="May-2018"/>
    <x v="19"/>
  </r>
  <r>
    <n v="2018"/>
    <n v="5"/>
    <s v="May"/>
    <x v="57"/>
    <n v="2691.8599880000002"/>
    <n v="35"/>
    <n v="76.91"/>
    <n v="3.914285"/>
    <n v="0"/>
    <n v="0"/>
    <s v="Fix"/>
    <s v="May-2018"/>
    <x v="19"/>
  </r>
  <r>
    <n v="2018"/>
    <n v="5"/>
    <s v="May"/>
    <x v="42"/>
    <n v="2310.0899890000001"/>
    <n v="10"/>
    <n v="231.01"/>
    <n v="3.7"/>
    <n v="0"/>
    <n v="0"/>
    <s v="Fix"/>
    <s v="May-2018"/>
    <x v="19"/>
  </r>
  <r>
    <n v="2018"/>
    <n v="5"/>
    <s v="May"/>
    <x v="55"/>
    <n v="2277.2899779999998"/>
    <n v="17"/>
    <n v="133.96"/>
    <n v="4.5294109999999996"/>
    <n v="0"/>
    <n v="0"/>
    <s v="Fix"/>
    <s v="May-2018"/>
    <x v="19"/>
  </r>
  <r>
    <n v="2018"/>
    <n v="5"/>
    <s v="May"/>
    <x v="9"/>
    <n v="2051.1999890000002"/>
    <n v="14"/>
    <n v="146.51"/>
    <n v="4"/>
    <n v="1"/>
    <n v="7.14"/>
    <s v="Fix"/>
    <s v="May-2018"/>
    <x v="19"/>
  </r>
  <r>
    <n v="2018"/>
    <n v="5"/>
    <s v="May"/>
    <x v="73"/>
    <n v="1958"/>
    <n v="2"/>
    <n v="979"/>
    <n v="5"/>
    <n v="0"/>
    <n v="0"/>
    <s v="Fix"/>
    <s v="May-2018"/>
    <x v="19"/>
  </r>
  <r>
    <n v="2018"/>
    <n v="5"/>
    <s v="May"/>
    <x v="18"/>
    <n v="1946.0999979999999"/>
    <n v="12"/>
    <n v="162.16999999999999"/>
    <n v="4"/>
    <n v="1"/>
    <n v="8.33"/>
    <s v="Fix"/>
    <s v="May-2018"/>
    <x v="19"/>
  </r>
  <r>
    <n v="2018"/>
    <n v="5"/>
    <s v="May"/>
    <x v="30"/>
    <n v="1582.699989"/>
    <n v="10"/>
    <n v="158.27000000000001"/>
    <n v="4.5"/>
    <n v="0"/>
    <n v="0"/>
    <s v="Fix"/>
    <s v="May-2018"/>
    <x v="19"/>
  </r>
  <r>
    <n v="2018"/>
    <n v="5"/>
    <s v="May"/>
    <x v="27"/>
    <n v="1542.93"/>
    <n v="36"/>
    <n v="42.86"/>
    <n v="4.4444439999999998"/>
    <n v="0"/>
    <n v="0"/>
    <s v="Fix"/>
    <s v="May-2018"/>
    <x v="19"/>
  </r>
  <r>
    <n v="2018"/>
    <n v="5"/>
    <s v="May"/>
    <x v="43"/>
    <n v="1484.979996"/>
    <n v="5"/>
    <n v="297"/>
    <n v="4.2"/>
    <n v="0"/>
    <n v="0"/>
    <s v="Fix"/>
    <s v="May-2018"/>
    <x v="19"/>
  </r>
  <r>
    <n v="2018"/>
    <n v="5"/>
    <s v="May"/>
    <x v="58"/>
    <n v="1239.44001"/>
    <n v="15"/>
    <n v="82.63"/>
    <n v="4.8666660000000004"/>
    <n v="0"/>
    <n v="0"/>
    <s v="Fix"/>
    <s v="May-2018"/>
    <x v="19"/>
  </r>
  <r>
    <n v="2018"/>
    <n v="5"/>
    <s v="May"/>
    <x v="51"/>
    <n v="1073.2800050000001"/>
    <n v="13"/>
    <n v="82.56"/>
    <n v="4.461538"/>
    <n v="0"/>
    <n v="0"/>
    <s v="Fix"/>
    <s v="May-2018"/>
    <x v="19"/>
  </r>
  <r>
    <n v="2018"/>
    <n v="5"/>
    <s v="May"/>
    <x v="14"/>
    <n v="957.45001409999998"/>
    <n v="13"/>
    <n v="73.650000000000006"/>
    <n v="3.6153840000000002"/>
    <n v="0"/>
    <n v="0"/>
    <s v="Fix"/>
    <s v="May-2018"/>
    <x v="19"/>
  </r>
  <r>
    <n v="2018"/>
    <n v="5"/>
    <s v="May"/>
    <x v="47"/>
    <n v="729.00000190000003"/>
    <n v="5"/>
    <n v="145.80000000000001"/>
    <n v="3.8"/>
    <n v="0"/>
    <n v="0"/>
    <s v="Fix"/>
    <s v="May-2018"/>
    <x v="19"/>
  </r>
  <r>
    <n v="2018"/>
    <n v="5"/>
    <s v="May"/>
    <x v="59"/>
    <n v="683.49999089999994"/>
    <n v="6"/>
    <n v="113.92"/>
    <n v="3.8333330000000001"/>
    <n v="0"/>
    <n v="0"/>
    <s v="Fix"/>
    <s v="May-2018"/>
    <x v="19"/>
  </r>
  <r>
    <n v="2018"/>
    <n v="5"/>
    <s v="May"/>
    <x v="64"/>
    <n v="524.53000450000002"/>
    <n v="6"/>
    <n v="87.42"/>
    <n v="5"/>
    <n v="0"/>
    <n v="0"/>
    <s v="Fix"/>
    <s v="May-2018"/>
    <x v="19"/>
  </r>
  <r>
    <n v="2018"/>
    <n v="5"/>
    <s v="May"/>
    <x v="46"/>
    <n v="439.93999480000002"/>
    <n v="6"/>
    <n v="73.319999999999993"/>
    <n v="4"/>
    <n v="0"/>
    <n v="0"/>
    <s v="Fix"/>
    <s v="May-2018"/>
    <x v="19"/>
  </r>
  <r>
    <n v="2018"/>
    <n v="5"/>
    <s v="May"/>
    <x v="61"/>
    <n v="417.90000149999997"/>
    <n v="5"/>
    <n v="83.58"/>
    <n v="4.8"/>
    <n v="0"/>
    <n v="0"/>
    <s v="Fix"/>
    <s v="May-2018"/>
    <x v="19"/>
  </r>
  <r>
    <n v="2018"/>
    <n v="5"/>
    <s v="May"/>
    <x v="54"/>
    <n v="410.92000009999998"/>
    <n v="9"/>
    <n v="45.66"/>
    <n v="4.8888879999999997"/>
    <n v="0"/>
    <n v="0"/>
    <s v="Fix"/>
    <s v="May-2018"/>
    <x v="19"/>
  </r>
  <r>
    <n v="2018"/>
    <n v="5"/>
    <s v="May"/>
    <x v="41"/>
    <n v="207.4000063"/>
    <n v="5"/>
    <n v="41.48"/>
    <n v="4.4000000000000004"/>
    <n v="0"/>
    <n v="0"/>
    <s v="Fix"/>
    <s v="May-2018"/>
    <x v="19"/>
  </r>
  <r>
    <n v="2018"/>
    <n v="5"/>
    <s v="May"/>
    <x v="31"/>
    <n v="129.9900055"/>
    <n v="1"/>
    <n v="129.99"/>
    <n v="5"/>
    <n v="0"/>
    <n v="0"/>
    <s v="Fix"/>
    <s v="May-2018"/>
    <x v="19"/>
  </r>
  <r>
    <n v="2018"/>
    <n v="5"/>
    <s v="May"/>
    <x v="25"/>
    <n v="117"/>
    <n v="3"/>
    <n v="39"/>
    <n v="4.6666660000000002"/>
    <n v="0"/>
    <n v="0"/>
    <s v="Fix"/>
    <s v="May-2018"/>
    <x v="19"/>
  </r>
  <r>
    <n v="2018"/>
    <n v="5"/>
    <s v="May"/>
    <x v="71"/>
    <n v="100.6999989"/>
    <n v="3"/>
    <n v="33.57"/>
    <n v="3.6666660000000002"/>
    <n v="0"/>
    <n v="0"/>
    <s v="Fix"/>
    <s v="May-2018"/>
    <x v="19"/>
  </r>
  <r>
    <n v="2018"/>
    <n v="5"/>
    <s v="May"/>
    <x v="67"/>
    <n v="89.800003050000001"/>
    <n v="1"/>
    <n v="89.8"/>
    <n v="4"/>
    <n v="0"/>
    <n v="0"/>
    <s v="Fix"/>
    <s v="May-2018"/>
    <x v="19"/>
  </r>
  <r>
    <n v="2018"/>
    <n v="5"/>
    <s v="May"/>
    <x v="48"/>
    <n v="49.900001529999997"/>
    <n v="1"/>
    <n v="49.9"/>
    <n v="5"/>
    <n v="0"/>
    <n v="0"/>
    <s v="Fix"/>
    <s v="May-2018"/>
    <x v="19"/>
  </r>
  <r>
    <n v="2018"/>
    <n v="5"/>
    <s v="May"/>
    <x v="72"/>
    <n v="16.399999619999999"/>
    <n v="1"/>
    <n v="16.399999999999999"/>
    <n v="3"/>
    <n v="0"/>
    <n v="0"/>
    <s v="Fix"/>
    <s v="May-2018"/>
    <x v="19"/>
  </r>
  <r>
    <n v="2018"/>
    <n v="6"/>
    <s v="June"/>
    <x v="0"/>
    <n v="107908.8199"/>
    <n v="799"/>
    <n v="135.05000000000001"/>
    <n v="4.3949680000000004"/>
    <n v="1"/>
    <n v="0.13"/>
    <s v="Fix"/>
    <s v="Jun-2018"/>
    <x v="20"/>
  </r>
  <r>
    <n v="2018"/>
    <n v="6"/>
    <s v="June"/>
    <x v="6"/>
    <n v="86885.56005"/>
    <n v="448"/>
    <n v="193.94"/>
    <n v="4.1793719999999999"/>
    <n v="0"/>
    <n v="0"/>
    <s v="Fix"/>
    <s v="Jun-2018"/>
    <x v="20"/>
  </r>
  <r>
    <n v="2018"/>
    <n v="6"/>
    <s v="June"/>
    <x v="21"/>
    <n v="71565.48"/>
    <n v="657"/>
    <n v="108.93"/>
    <n v="4.0781010000000002"/>
    <n v="1"/>
    <n v="0.15"/>
    <s v="Fix"/>
    <s v="Jun-2018"/>
    <x v="20"/>
  </r>
  <r>
    <n v="2018"/>
    <n v="6"/>
    <s v="June"/>
    <x v="16"/>
    <n v="56825.450040000003"/>
    <n v="470"/>
    <n v="120.91"/>
    <n v="4.1820120000000003"/>
    <n v="4"/>
    <n v="0.85"/>
    <s v="Fix"/>
    <s v="Jun-2018"/>
    <x v="20"/>
  </r>
  <r>
    <n v="2018"/>
    <n v="6"/>
    <s v="June"/>
    <x v="7"/>
    <n v="45851.00993"/>
    <n v="377"/>
    <n v="121.62"/>
    <n v="4.3760000000000003"/>
    <n v="3"/>
    <n v="0.8"/>
    <s v="Fix"/>
    <s v="Jun-2018"/>
    <x v="20"/>
  </r>
  <r>
    <n v="2018"/>
    <n v="6"/>
    <s v="June"/>
    <x v="8"/>
    <n v="45407.489950000003"/>
    <n v="272"/>
    <n v="166.94"/>
    <n v="4.1402210000000004"/>
    <n v="0"/>
    <n v="0"/>
    <s v="Fix"/>
    <s v="Jun-2018"/>
    <x v="20"/>
  </r>
  <r>
    <n v="2018"/>
    <n v="6"/>
    <s v="June"/>
    <x v="11"/>
    <n v="42326.44973"/>
    <n v="358"/>
    <n v="118.23"/>
    <n v="4.22905"/>
    <n v="3"/>
    <n v="0.84"/>
    <s v="Fix"/>
    <s v="Jun-2018"/>
    <x v="20"/>
  </r>
  <r>
    <n v="2018"/>
    <n v="6"/>
    <s v="June"/>
    <x v="1"/>
    <n v="42190.219929999999"/>
    <n v="318"/>
    <n v="132.66999999999999"/>
    <n v="4.126182"/>
    <n v="0"/>
    <n v="0"/>
    <s v="Fix"/>
    <s v="Jun-2018"/>
    <x v="20"/>
  </r>
  <r>
    <n v="2018"/>
    <n v="6"/>
    <s v="June"/>
    <x v="10"/>
    <n v="30755.119790000001"/>
    <n v="207"/>
    <n v="148.58000000000001"/>
    <n v="4.2439020000000003"/>
    <n v="0"/>
    <n v="0"/>
    <s v="Fix"/>
    <s v="Jun-2018"/>
    <x v="20"/>
  </r>
  <r>
    <n v="2018"/>
    <n v="6"/>
    <s v="June"/>
    <x v="3"/>
    <n v="27335.85989"/>
    <n v="169"/>
    <n v="161.75"/>
    <n v="4.3452380000000002"/>
    <n v="0"/>
    <n v="0"/>
    <s v="Fix"/>
    <s v="Jun-2018"/>
    <x v="20"/>
  </r>
  <r>
    <n v="2018"/>
    <n v="6"/>
    <s v="June"/>
    <x v="39"/>
    <n v="22947.719929999999"/>
    <n v="108"/>
    <n v="212.48"/>
    <n v="4.2222220000000004"/>
    <n v="0"/>
    <n v="0"/>
    <s v="Fix"/>
    <s v="Jun-2018"/>
    <x v="20"/>
  </r>
  <r>
    <n v="2018"/>
    <n v="6"/>
    <s v="June"/>
    <x v="2"/>
    <n v="22776.820019999999"/>
    <n v="205"/>
    <n v="111.11"/>
    <n v="4.2254899999999997"/>
    <n v="1"/>
    <n v="0.49"/>
    <s v="Fix"/>
    <s v="Jun-2018"/>
    <x v="20"/>
  </r>
  <r>
    <n v="2018"/>
    <n v="6"/>
    <s v="June"/>
    <x v="4"/>
    <n v="21221.45003"/>
    <n v="177"/>
    <n v="119.9"/>
    <n v="4.4659089999999999"/>
    <n v="0"/>
    <n v="0"/>
    <s v="Fix"/>
    <s v="Jun-2018"/>
    <x v="20"/>
  </r>
  <r>
    <n v="2018"/>
    <n v="6"/>
    <s v="June"/>
    <x v="19"/>
    <n v="19491.780050000001"/>
    <n v="151"/>
    <n v="129.08000000000001"/>
    <n v="4.443708"/>
    <n v="0"/>
    <n v="0"/>
    <s v="Fix"/>
    <s v="Jun-2018"/>
    <x v="20"/>
  </r>
  <r>
    <n v="2018"/>
    <n v="6"/>
    <s v="June"/>
    <x v="17"/>
    <n v="19316.37"/>
    <n v="100"/>
    <n v="193.16"/>
    <n v="4.3099999999999996"/>
    <n v="0"/>
    <n v="0"/>
    <s v="Fix"/>
    <s v="Jun-2018"/>
    <x v="20"/>
  </r>
  <r>
    <n v="2018"/>
    <n v="6"/>
    <s v="June"/>
    <x v="12"/>
    <n v="18018.710029999998"/>
    <n v="149"/>
    <n v="120.93"/>
    <n v="4.3221470000000002"/>
    <n v="0"/>
    <n v="0"/>
    <s v="Fix"/>
    <s v="Jun-2018"/>
    <x v="20"/>
  </r>
  <r>
    <n v="2018"/>
    <n v="6"/>
    <s v="June"/>
    <x v="38"/>
    <n v="16177.920050000001"/>
    <n v="46"/>
    <n v="351.69"/>
    <n v="4.4444439999999998"/>
    <n v="0"/>
    <n v="0"/>
    <s v="Fix"/>
    <s v="Jun-2018"/>
    <x v="20"/>
  </r>
  <r>
    <n v="2018"/>
    <n v="6"/>
    <s v="June"/>
    <x v="34"/>
    <n v="16022.7"/>
    <n v="44"/>
    <n v="364.15"/>
    <n v="4.0697669999999997"/>
    <n v="0"/>
    <n v="0"/>
    <s v="Fix"/>
    <s v="Jun-2018"/>
    <x v="20"/>
  </r>
  <r>
    <n v="2018"/>
    <n v="6"/>
    <s v="June"/>
    <x v="32"/>
    <n v="13127"/>
    <n v="8"/>
    <n v="1640.88"/>
    <n v="4.5"/>
    <n v="0"/>
    <n v="0"/>
    <s v="Fix"/>
    <s v="Jun-2018"/>
    <x v="20"/>
  </r>
  <r>
    <n v="2018"/>
    <n v="6"/>
    <s v="June"/>
    <x v="35"/>
    <n v="12859.08006"/>
    <n v="145"/>
    <n v="88.68"/>
    <n v="4.489655"/>
    <n v="0"/>
    <n v="0"/>
    <s v="Fix"/>
    <s v="Jun-2018"/>
    <x v="20"/>
  </r>
  <r>
    <n v="2018"/>
    <n v="6"/>
    <s v="June"/>
    <x v="15"/>
    <n v="12725.579970000001"/>
    <n v="60"/>
    <n v="212.09"/>
    <n v="3.8666659999999999"/>
    <n v="0"/>
    <n v="0"/>
    <s v="Fix"/>
    <s v="Jun-2018"/>
    <x v="20"/>
  </r>
  <r>
    <n v="2018"/>
    <n v="6"/>
    <s v="June"/>
    <x v="13"/>
    <n v="9664.5699449999993"/>
    <n v="174"/>
    <n v="55.54"/>
    <n v="4.4827579999999996"/>
    <n v="0"/>
    <n v="0"/>
    <s v="Fix"/>
    <s v="Jun-2018"/>
    <x v="20"/>
  </r>
  <r>
    <n v="2018"/>
    <n v="6"/>
    <s v="June"/>
    <x v="50"/>
    <n v="9094.5899850000005"/>
    <n v="60"/>
    <n v="151.58000000000001"/>
    <n v="4.3499999999999996"/>
    <n v="0"/>
    <n v="0"/>
    <s v="Fix"/>
    <s v="Jun-2018"/>
    <x v="20"/>
  </r>
  <r>
    <n v="2018"/>
    <n v="6"/>
    <s v="June"/>
    <x v="33"/>
    <n v="8312.7199949999995"/>
    <n v="18"/>
    <n v="461.82"/>
    <n v="4.7222220000000004"/>
    <n v="0"/>
    <n v="0"/>
    <s v="Fix"/>
    <s v="Jun-2018"/>
    <x v="20"/>
  </r>
  <r>
    <n v="2018"/>
    <n v="6"/>
    <s v="June"/>
    <x v="20"/>
    <n v="7869.9500479999997"/>
    <n v="82"/>
    <n v="95.98"/>
    <n v="4.5121950000000002"/>
    <n v="0"/>
    <n v="0"/>
    <s v="Fix"/>
    <s v="Jun-2018"/>
    <x v="20"/>
  </r>
  <r>
    <n v="2018"/>
    <n v="6"/>
    <s v="June"/>
    <x v="5"/>
    <n v="6903.01"/>
    <n v="41"/>
    <n v="168.37"/>
    <n v="4.5121950000000002"/>
    <n v="0"/>
    <n v="0"/>
    <s v="Fix"/>
    <s v="Jun-2018"/>
    <x v="20"/>
  </r>
  <r>
    <n v="2018"/>
    <n v="6"/>
    <s v="June"/>
    <x v="49"/>
    <n v="5916.3699669999996"/>
    <n v="67"/>
    <n v="88.3"/>
    <n v="4.3134319999999997"/>
    <n v="0"/>
    <n v="0"/>
    <s v="Fix"/>
    <s v="Jun-2018"/>
    <x v="20"/>
  </r>
  <r>
    <n v="2018"/>
    <n v="6"/>
    <s v="June"/>
    <x v="59"/>
    <n v="5863.1800819999999"/>
    <n v="18"/>
    <n v="325.73"/>
    <n v="4.1111110000000002"/>
    <n v="0"/>
    <n v="0"/>
    <s v="Fix"/>
    <s v="Jun-2018"/>
    <x v="20"/>
  </r>
  <r>
    <n v="2018"/>
    <n v="6"/>
    <s v="June"/>
    <x v="37"/>
    <n v="5070.8799319999998"/>
    <n v="36"/>
    <n v="140.86000000000001"/>
    <n v="4.4722220000000004"/>
    <n v="0"/>
    <n v="0"/>
    <s v="Fix"/>
    <s v="Jun-2018"/>
    <x v="20"/>
  </r>
  <r>
    <n v="2018"/>
    <n v="6"/>
    <s v="June"/>
    <x v="69"/>
    <n v="4583.4100420000004"/>
    <n v="35"/>
    <n v="130.94999999999999"/>
    <n v="4.4000000000000004"/>
    <n v="0"/>
    <n v="0"/>
    <s v="Fix"/>
    <s v="Jun-2018"/>
    <x v="20"/>
  </r>
  <r>
    <n v="2018"/>
    <n v="6"/>
    <s v="June"/>
    <x v="42"/>
    <n v="3667.4299890000002"/>
    <n v="22"/>
    <n v="166.7"/>
    <n v="3.318181"/>
    <n v="1"/>
    <n v="4.55"/>
    <s v="Fix"/>
    <s v="Jun-2018"/>
    <x v="20"/>
  </r>
  <r>
    <n v="2018"/>
    <n v="6"/>
    <s v="June"/>
    <x v="9"/>
    <n v="3567.8999979999999"/>
    <n v="9"/>
    <n v="396.43"/>
    <n v="3.8888880000000001"/>
    <n v="0"/>
    <n v="0"/>
    <s v="Fix"/>
    <s v="Jun-2018"/>
    <x v="20"/>
  </r>
  <r>
    <n v="2018"/>
    <n v="6"/>
    <s v="June"/>
    <x v="36"/>
    <n v="3541.619968"/>
    <n v="27"/>
    <n v="131.16999999999999"/>
    <n v="4.4074070000000001"/>
    <n v="0"/>
    <n v="0"/>
    <s v="Fix"/>
    <s v="Jun-2018"/>
    <x v="20"/>
  </r>
  <r>
    <n v="2018"/>
    <n v="6"/>
    <s v="June"/>
    <x v="45"/>
    <n v="3515.7999949999999"/>
    <n v="10"/>
    <n v="351.58"/>
    <n v="4.2"/>
    <n v="0"/>
    <n v="0"/>
    <s v="Fix"/>
    <s v="Jun-2018"/>
    <x v="20"/>
  </r>
  <r>
    <n v="2018"/>
    <n v="6"/>
    <s v="June"/>
    <x v="68"/>
    <n v="3499"/>
    <n v="3"/>
    <n v="1166.33"/>
    <n v="5"/>
    <n v="0"/>
    <n v="0"/>
    <s v="Fix"/>
    <s v="Jun-2018"/>
    <x v="20"/>
  </r>
  <r>
    <n v="2018"/>
    <n v="6"/>
    <s v="June"/>
    <x v="26"/>
    <n v="3345.3900549999998"/>
    <n v="33"/>
    <n v="101.38"/>
    <n v="4.65625"/>
    <n v="1"/>
    <n v="3.03"/>
    <s v="Fix"/>
    <s v="Jun-2018"/>
    <x v="20"/>
  </r>
  <r>
    <n v="2018"/>
    <n v="6"/>
    <s v="June"/>
    <x v="22"/>
    <n v="2609.8999939999999"/>
    <n v="21"/>
    <n v="124.28"/>
    <n v="4.4761899999999999"/>
    <n v="0"/>
    <n v="0"/>
    <s v="Fix"/>
    <s v="Jun-2018"/>
    <x v="20"/>
  </r>
  <r>
    <n v="2018"/>
    <n v="6"/>
    <s v="June"/>
    <x v="53"/>
    <n v="2565.3700009999998"/>
    <n v="16"/>
    <n v="160.34"/>
    <n v="4.125"/>
    <n v="0"/>
    <n v="0"/>
    <s v="Fix"/>
    <s v="Jun-2018"/>
    <x v="20"/>
  </r>
  <r>
    <n v="2018"/>
    <n v="6"/>
    <s v="June"/>
    <x v="57"/>
    <n v="2500.1399940000001"/>
    <n v="28"/>
    <n v="89.29"/>
    <n v="4.2857139999999996"/>
    <n v="0"/>
    <n v="0"/>
    <s v="Fix"/>
    <s v="Jun-2018"/>
    <x v="20"/>
  </r>
  <r>
    <n v="2018"/>
    <n v="6"/>
    <s v="June"/>
    <x v="28"/>
    <n v="2387.1300620000002"/>
    <n v="22"/>
    <n v="108.51"/>
    <s v="NULL"/>
    <s v="NULL"/>
    <s v="NULL"/>
    <s v="Fix"/>
    <s v="Jun-2018"/>
    <x v="20"/>
  </r>
  <r>
    <n v="2018"/>
    <n v="6"/>
    <s v="June"/>
    <x v="52"/>
    <n v="2386.4900130000001"/>
    <n v="16"/>
    <n v="149.16"/>
    <n v="4.3125"/>
    <n v="0"/>
    <n v="0"/>
    <s v="Fix"/>
    <s v="Jun-2018"/>
    <x v="20"/>
  </r>
  <r>
    <n v="2018"/>
    <n v="6"/>
    <s v="June"/>
    <x v="18"/>
    <n v="2080.3199979999999"/>
    <n v="15"/>
    <n v="138.69"/>
    <n v="4.4000000000000004"/>
    <n v="0"/>
    <n v="0"/>
    <s v="Fix"/>
    <s v="Jun-2018"/>
    <x v="20"/>
  </r>
  <r>
    <n v="2018"/>
    <n v="6"/>
    <s v="June"/>
    <x v="24"/>
    <n v="1830.6900009999999"/>
    <n v="19"/>
    <n v="96.35"/>
    <n v="4.2222220000000004"/>
    <n v="0"/>
    <n v="0"/>
    <s v="Fix"/>
    <s v="Jun-2018"/>
    <x v="20"/>
  </r>
  <r>
    <n v="2018"/>
    <n v="6"/>
    <s v="June"/>
    <x v="23"/>
    <n v="1747.43001"/>
    <n v="26"/>
    <n v="67.209999999999994"/>
    <n v="4.6153839999999997"/>
    <n v="0"/>
    <n v="0"/>
    <s v="Fix"/>
    <s v="Jun-2018"/>
    <x v="20"/>
  </r>
  <r>
    <n v="2018"/>
    <n v="6"/>
    <s v="June"/>
    <x v="56"/>
    <n v="1567.070007"/>
    <n v="30"/>
    <n v="52.24"/>
    <n v="4.0999999999999996"/>
    <n v="0"/>
    <n v="0"/>
    <s v="Fix"/>
    <s v="Jun-2018"/>
    <x v="20"/>
  </r>
  <r>
    <n v="2018"/>
    <n v="6"/>
    <s v="June"/>
    <x v="43"/>
    <n v="1559.989998"/>
    <n v="8"/>
    <n v="195"/>
    <n v="3.75"/>
    <n v="0"/>
    <n v="0"/>
    <s v="Fix"/>
    <s v="Jun-2018"/>
    <x v="20"/>
  </r>
  <r>
    <n v="2018"/>
    <n v="6"/>
    <s v="June"/>
    <x v="27"/>
    <n v="1371.1800040000001"/>
    <n v="24"/>
    <n v="57.13"/>
    <n v="4.0416660000000002"/>
    <n v="0"/>
    <n v="0"/>
    <s v="Fix"/>
    <s v="Jun-2018"/>
    <x v="20"/>
  </r>
  <r>
    <n v="2018"/>
    <n v="6"/>
    <s v="June"/>
    <x v="30"/>
    <n v="1230.5799979999999"/>
    <n v="10"/>
    <n v="123.06"/>
    <n v="4.5999999999999996"/>
    <n v="0"/>
    <n v="0"/>
    <s v="Fix"/>
    <s v="Jun-2018"/>
    <x v="20"/>
  </r>
  <r>
    <n v="2018"/>
    <n v="6"/>
    <s v="June"/>
    <x v="51"/>
    <n v="799.44000430000006"/>
    <n v="11"/>
    <n v="72.680000000000007"/>
    <n v="4.4545450000000004"/>
    <n v="0"/>
    <n v="0"/>
    <s v="Fix"/>
    <s v="Jun-2018"/>
    <x v="20"/>
  </r>
  <r>
    <n v="2018"/>
    <n v="6"/>
    <s v="June"/>
    <x v="14"/>
    <n v="556.4599991"/>
    <n v="7"/>
    <n v="79.489999999999995"/>
    <n v="3.8571420000000001"/>
    <n v="0"/>
    <n v="0"/>
    <s v="Fix"/>
    <s v="Jun-2018"/>
    <x v="20"/>
  </r>
  <r>
    <n v="2018"/>
    <n v="6"/>
    <s v="June"/>
    <x v="61"/>
    <n v="527"/>
    <n v="4"/>
    <n v="131.75"/>
    <n v="5"/>
    <n v="0"/>
    <n v="0"/>
    <s v="Fix"/>
    <s v="Jun-2018"/>
    <x v="20"/>
  </r>
  <r>
    <n v="2018"/>
    <n v="6"/>
    <s v="June"/>
    <x v="54"/>
    <n v="468.16999629999998"/>
    <n v="9"/>
    <n v="52.02"/>
    <n v="5"/>
    <n v="0"/>
    <n v="0"/>
    <s v="Fix"/>
    <s v="Jun-2018"/>
    <x v="20"/>
  </r>
  <r>
    <n v="2018"/>
    <n v="6"/>
    <s v="June"/>
    <x v="31"/>
    <n v="447.80000310000003"/>
    <n v="6"/>
    <n v="74.63"/>
    <n v="4.8333329999999997"/>
    <n v="0"/>
    <n v="0"/>
    <s v="Fix"/>
    <s v="Jun-2018"/>
    <x v="20"/>
  </r>
  <r>
    <n v="2018"/>
    <n v="6"/>
    <s v="June"/>
    <x v="55"/>
    <n v="435.8500032"/>
    <n v="9"/>
    <n v="48.43"/>
    <n v="4.4444439999999998"/>
    <n v="0"/>
    <n v="0"/>
    <s v="Fix"/>
    <s v="Jun-2018"/>
    <x v="20"/>
  </r>
  <r>
    <n v="2018"/>
    <n v="6"/>
    <s v="June"/>
    <x v="46"/>
    <n v="382.88000299999999"/>
    <n v="5"/>
    <n v="76.58"/>
    <n v="4.8"/>
    <n v="0"/>
    <n v="0"/>
    <s v="Fix"/>
    <s v="Jun-2018"/>
    <x v="20"/>
  </r>
  <r>
    <n v="2018"/>
    <n v="6"/>
    <s v="June"/>
    <x v="25"/>
    <n v="321"/>
    <n v="7"/>
    <n v="45.86"/>
    <n v="4.1428570000000002"/>
    <n v="0"/>
    <n v="0"/>
    <s v="Fix"/>
    <s v="Jun-2018"/>
    <x v="20"/>
  </r>
  <r>
    <n v="2018"/>
    <n v="6"/>
    <s v="June"/>
    <x v="64"/>
    <n v="306.1900043"/>
    <n v="6"/>
    <n v="51.03"/>
    <n v="4.5"/>
    <n v="0"/>
    <n v="0"/>
    <s v="Fix"/>
    <s v="Jun-2018"/>
    <x v="20"/>
  </r>
  <r>
    <n v="2018"/>
    <n v="6"/>
    <s v="June"/>
    <x v="58"/>
    <n v="293.85000230000003"/>
    <n v="9"/>
    <n v="32.65"/>
    <n v="3.6666660000000002"/>
    <n v="0"/>
    <n v="0"/>
    <s v="Fix"/>
    <s v="Jun-2018"/>
    <x v="20"/>
  </r>
  <r>
    <n v="2018"/>
    <n v="6"/>
    <s v="June"/>
    <x v="41"/>
    <n v="129.3000035"/>
    <n v="3"/>
    <n v="43.1"/>
    <n v="4"/>
    <n v="0"/>
    <n v="0"/>
    <s v="Fix"/>
    <s v="Jun-2018"/>
    <x v="20"/>
  </r>
  <r>
    <n v="2018"/>
    <n v="6"/>
    <s v="June"/>
    <x v="47"/>
    <n v="109.07999940000001"/>
    <n v="3"/>
    <n v="36.36"/>
    <n v="4.3333329999999997"/>
    <n v="0"/>
    <n v="0"/>
    <s v="Fix"/>
    <s v="Jun-2018"/>
    <x v="20"/>
  </r>
  <r>
    <n v="2018"/>
    <n v="6"/>
    <s v="June"/>
    <x v="72"/>
    <n v="108"/>
    <n v="1"/>
    <n v="108"/>
    <n v="5"/>
    <n v="0"/>
    <n v="0"/>
    <s v="Fix"/>
    <s v="Jun-2018"/>
    <x v="20"/>
  </r>
  <r>
    <n v="2018"/>
    <n v="6"/>
    <s v="June"/>
    <x v="66"/>
    <n v="89.989997860000003"/>
    <n v="1"/>
    <n v="89.99"/>
    <n v="5"/>
    <n v="0"/>
    <n v="0"/>
    <s v="Fix"/>
    <s v="Jun-2018"/>
    <x v="20"/>
  </r>
  <r>
    <n v="2018"/>
    <n v="6"/>
    <s v="June"/>
    <x v="71"/>
    <n v="84.800001140000006"/>
    <n v="2"/>
    <n v="42.4"/>
    <n v="5"/>
    <n v="0"/>
    <n v="0"/>
    <s v="Fix"/>
    <s v="Jun-2018"/>
    <x v="20"/>
  </r>
  <r>
    <n v="2018"/>
    <n v="6"/>
    <s v="June"/>
    <x v="48"/>
    <n v="50"/>
    <n v="1"/>
    <n v="50"/>
    <n v="4"/>
    <n v="0"/>
    <n v="0"/>
    <s v="Fix"/>
    <s v="Jun-2018"/>
    <x v="20"/>
  </r>
  <r>
    <n v="2018"/>
    <n v="6"/>
    <s v="June"/>
    <x v="44"/>
    <n v="25.799999239999998"/>
    <n v="1"/>
    <n v="25.8"/>
    <n v="1"/>
    <n v="0"/>
    <n v="0"/>
    <s v="Fix"/>
    <s v="Jun-2018"/>
    <x v="20"/>
  </r>
  <r>
    <n v="2018"/>
    <n v="7"/>
    <s v="July"/>
    <x v="0"/>
    <n v="105813.03019999999"/>
    <n v="713"/>
    <n v="148.41"/>
    <n v="4.2245759999999999"/>
    <n v="2"/>
    <n v="0.28000000000000003"/>
    <s v="Fix"/>
    <s v="Jul-2018"/>
    <x v="21"/>
  </r>
  <r>
    <n v="2018"/>
    <n v="7"/>
    <s v="July"/>
    <x v="6"/>
    <n v="96212.590049999999"/>
    <n v="514"/>
    <n v="187.18"/>
    <n v="3.9822829999999998"/>
    <n v="0"/>
    <n v="0"/>
    <s v="Fix"/>
    <s v="Jul-2018"/>
    <x v="21"/>
  </r>
  <r>
    <n v="2018"/>
    <n v="7"/>
    <s v="July"/>
    <x v="16"/>
    <n v="63409.140019999999"/>
    <n v="474"/>
    <n v="133.77000000000001"/>
    <n v="4.3134319999999997"/>
    <n v="5"/>
    <n v="1.05"/>
    <s v="Fix"/>
    <s v="Jul-2018"/>
    <x v="21"/>
  </r>
  <r>
    <n v="2018"/>
    <n v="7"/>
    <s v="July"/>
    <x v="7"/>
    <n v="55292.680009999996"/>
    <n v="418"/>
    <n v="132.28"/>
    <n v="4.3237410000000001"/>
    <n v="2"/>
    <n v="0.48"/>
    <s v="Fix"/>
    <s v="Jul-2018"/>
    <x v="21"/>
  </r>
  <r>
    <n v="2018"/>
    <n v="7"/>
    <s v="July"/>
    <x v="21"/>
    <n v="55082.820019999999"/>
    <n v="518"/>
    <n v="106.34"/>
    <n v="4.2155329999999998"/>
    <n v="3"/>
    <n v="0.57999999999999996"/>
    <s v="Fix"/>
    <s v="Jul-2018"/>
    <x v="21"/>
  </r>
  <r>
    <n v="2018"/>
    <n v="7"/>
    <s v="July"/>
    <x v="1"/>
    <n v="45715.489939999999"/>
    <n v="347"/>
    <n v="131.74"/>
    <n v="4.3546509999999996"/>
    <n v="2"/>
    <n v="0.57999999999999996"/>
    <s v="Fix"/>
    <s v="Jul-2018"/>
    <x v="21"/>
  </r>
  <r>
    <n v="2018"/>
    <n v="7"/>
    <s v="July"/>
    <x v="8"/>
    <n v="43830.290070000003"/>
    <n v="327"/>
    <n v="134.04"/>
    <n v="4.4006109999999996"/>
    <n v="2"/>
    <n v="0.61"/>
    <s v="Fix"/>
    <s v="Jul-2018"/>
    <x v="21"/>
  </r>
  <r>
    <n v="2018"/>
    <n v="7"/>
    <s v="July"/>
    <x v="11"/>
    <n v="41902.789839999998"/>
    <n v="389"/>
    <n v="107.72"/>
    <n v="4.2293810000000001"/>
    <n v="3"/>
    <n v="0.77"/>
    <s v="Fix"/>
    <s v="Jul-2018"/>
    <x v="21"/>
  </r>
  <r>
    <n v="2018"/>
    <n v="7"/>
    <s v="July"/>
    <x v="17"/>
    <n v="30551.60974"/>
    <n v="118"/>
    <n v="258.91000000000003"/>
    <n v="4.2669490000000003"/>
    <n v="3"/>
    <n v="2.54"/>
    <s v="Fix"/>
    <s v="Jul-2018"/>
    <x v="21"/>
  </r>
  <r>
    <n v="2018"/>
    <n v="7"/>
    <s v="July"/>
    <x v="2"/>
    <n v="26939.410039999999"/>
    <n v="206"/>
    <n v="130.77000000000001"/>
    <n v="4.0195119999999998"/>
    <n v="1"/>
    <n v="0.49"/>
    <s v="Fix"/>
    <s v="Jul-2018"/>
    <x v="21"/>
  </r>
  <r>
    <n v="2018"/>
    <n v="7"/>
    <s v="July"/>
    <x v="12"/>
    <n v="26173.780040000001"/>
    <n v="154"/>
    <n v="169.96"/>
    <n v="4.4183000000000003"/>
    <n v="0"/>
    <n v="0"/>
    <s v="Fix"/>
    <s v="Jul-2018"/>
    <x v="21"/>
  </r>
  <r>
    <n v="2018"/>
    <n v="7"/>
    <s v="July"/>
    <x v="3"/>
    <n v="22417.770049999999"/>
    <n v="174"/>
    <n v="128.84"/>
    <n v="4.5317910000000001"/>
    <n v="4"/>
    <n v="2.2999999999999998"/>
    <s v="Fix"/>
    <s v="Jul-2018"/>
    <x v="21"/>
  </r>
  <r>
    <n v="2018"/>
    <n v="7"/>
    <s v="July"/>
    <x v="10"/>
    <n v="22185.95997"/>
    <n v="210"/>
    <n v="105.65"/>
    <n v="4.3125"/>
    <n v="2"/>
    <n v="0.95"/>
    <s v="Fix"/>
    <s v="Jul-2018"/>
    <x v="21"/>
  </r>
  <r>
    <n v="2018"/>
    <n v="7"/>
    <s v="July"/>
    <x v="19"/>
    <n v="19583.740000000002"/>
    <n v="140"/>
    <n v="139.88"/>
    <n v="4.3669060000000002"/>
    <n v="0"/>
    <n v="0"/>
    <s v="Fix"/>
    <s v="Jul-2018"/>
    <x v="21"/>
  </r>
  <r>
    <n v="2018"/>
    <n v="7"/>
    <s v="July"/>
    <x v="4"/>
    <n v="17277.289970000002"/>
    <n v="150"/>
    <n v="115.18"/>
    <n v="4.3466659999999999"/>
    <n v="2"/>
    <n v="1.33"/>
    <s v="Fix"/>
    <s v="Jul-2018"/>
    <x v="21"/>
  </r>
  <r>
    <n v="2018"/>
    <n v="7"/>
    <s v="July"/>
    <x v="35"/>
    <n v="17247.090080000002"/>
    <n v="169"/>
    <n v="102.05"/>
    <n v="4.398809"/>
    <n v="0"/>
    <n v="0"/>
    <s v="Fix"/>
    <s v="Jul-2018"/>
    <x v="21"/>
  </r>
  <r>
    <n v="2018"/>
    <n v="7"/>
    <s v="July"/>
    <x v="39"/>
    <n v="15237.47006"/>
    <n v="98"/>
    <n v="155.47999999999999"/>
    <n v="4.3298959999999997"/>
    <n v="0"/>
    <n v="0"/>
    <s v="Fix"/>
    <s v="Jul-2018"/>
    <x v="21"/>
  </r>
  <r>
    <n v="2018"/>
    <n v="7"/>
    <s v="July"/>
    <x v="15"/>
    <n v="13775.26994"/>
    <n v="64"/>
    <n v="215.24"/>
    <n v="3.677419"/>
    <n v="1"/>
    <n v="1.56"/>
    <s v="Fix"/>
    <s v="Jul-2018"/>
    <x v="21"/>
  </r>
  <r>
    <n v="2018"/>
    <n v="7"/>
    <s v="July"/>
    <x v="33"/>
    <n v="12597.31993"/>
    <n v="22"/>
    <n v="572.61"/>
    <n v="4.1363630000000002"/>
    <n v="0"/>
    <n v="0"/>
    <s v="Fix"/>
    <s v="Jul-2018"/>
    <x v="21"/>
  </r>
  <r>
    <n v="2018"/>
    <n v="7"/>
    <s v="July"/>
    <x v="32"/>
    <n v="11239"/>
    <n v="8"/>
    <n v="1404.88"/>
    <n v="4.2857139999999996"/>
    <n v="0"/>
    <n v="0"/>
    <s v="Fix"/>
    <s v="Jul-2018"/>
    <x v="21"/>
  </r>
  <r>
    <n v="2018"/>
    <n v="7"/>
    <s v="July"/>
    <x v="13"/>
    <n v="11150.749980000001"/>
    <n v="145"/>
    <n v="76.900000000000006"/>
    <n v="4.2657340000000001"/>
    <n v="2"/>
    <n v="1.38"/>
    <s v="Fix"/>
    <s v="Jul-2018"/>
    <x v="21"/>
  </r>
  <r>
    <n v="2018"/>
    <n v="7"/>
    <s v="July"/>
    <x v="38"/>
    <n v="9541.7999940000009"/>
    <n v="33"/>
    <n v="289.14999999999998"/>
    <n v="4.3125"/>
    <n v="1"/>
    <n v="3.03"/>
    <s v="Fix"/>
    <s v="Jul-2018"/>
    <x v="21"/>
  </r>
  <r>
    <n v="2018"/>
    <n v="7"/>
    <s v="July"/>
    <x v="18"/>
    <n v="9319.3900030000004"/>
    <n v="8"/>
    <n v="1164.92"/>
    <n v="4.125"/>
    <n v="0"/>
    <n v="0"/>
    <s v="Fix"/>
    <s v="Jul-2018"/>
    <x v="21"/>
  </r>
  <r>
    <n v="2018"/>
    <n v="7"/>
    <s v="July"/>
    <x v="34"/>
    <n v="8711.2500779999991"/>
    <n v="36"/>
    <n v="241.98"/>
    <n v="4.2777770000000004"/>
    <n v="1"/>
    <n v="2.78"/>
    <s v="Fix"/>
    <s v="Jul-2018"/>
    <x v="21"/>
  </r>
  <r>
    <n v="2018"/>
    <n v="7"/>
    <s v="July"/>
    <x v="5"/>
    <n v="8519.1100179999994"/>
    <n v="49"/>
    <n v="173.86"/>
    <n v="4.2291660000000002"/>
    <n v="0"/>
    <n v="0"/>
    <s v="Fix"/>
    <s v="Jul-2018"/>
    <x v="21"/>
  </r>
  <r>
    <n v="2018"/>
    <n v="7"/>
    <s v="July"/>
    <x v="45"/>
    <n v="7756.690012"/>
    <n v="29"/>
    <n v="267.47000000000003"/>
    <n v="3.9310339999999999"/>
    <n v="0"/>
    <n v="0"/>
    <s v="Fix"/>
    <s v="Jul-2018"/>
    <x v="21"/>
  </r>
  <r>
    <n v="2018"/>
    <n v="7"/>
    <s v="July"/>
    <x v="69"/>
    <n v="7249.6100120000001"/>
    <n v="40"/>
    <n v="181.24"/>
    <n v="4.7"/>
    <n v="0"/>
    <n v="0"/>
    <s v="Fix"/>
    <s v="Jul-2018"/>
    <x v="21"/>
  </r>
  <r>
    <n v="2018"/>
    <n v="7"/>
    <s v="July"/>
    <x v="50"/>
    <n v="6780.1499750000003"/>
    <n v="58"/>
    <n v="116.9"/>
    <n v="4.3275860000000002"/>
    <n v="0"/>
    <n v="0"/>
    <s v="Fix"/>
    <s v="Jul-2018"/>
    <x v="21"/>
  </r>
  <r>
    <n v="2018"/>
    <n v="7"/>
    <s v="July"/>
    <x v="36"/>
    <n v="6779.629911"/>
    <n v="50"/>
    <n v="135.59"/>
    <n v="4.24"/>
    <n v="0"/>
    <n v="0"/>
    <s v="Fix"/>
    <s v="Jul-2018"/>
    <x v="21"/>
  </r>
  <r>
    <n v="2018"/>
    <n v="7"/>
    <s v="July"/>
    <x v="20"/>
    <n v="6161.8700200000003"/>
    <n v="76"/>
    <n v="81.08"/>
    <n v="4.5526309999999999"/>
    <n v="0"/>
    <n v="0"/>
    <s v="Fix"/>
    <s v="Jul-2018"/>
    <x v="21"/>
  </r>
  <r>
    <n v="2018"/>
    <n v="7"/>
    <s v="July"/>
    <x v="37"/>
    <n v="5821.7199549999996"/>
    <n v="53"/>
    <n v="109.84"/>
    <n v="4.3584899999999998"/>
    <n v="0"/>
    <n v="0"/>
    <s v="Fix"/>
    <s v="Jul-2018"/>
    <x v="21"/>
  </r>
  <r>
    <n v="2018"/>
    <n v="7"/>
    <s v="July"/>
    <x v="61"/>
    <n v="5501.1999969999997"/>
    <n v="10"/>
    <n v="550.12"/>
    <n v="4.9000000000000004"/>
    <n v="0"/>
    <n v="0"/>
    <s v="Fix"/>
    <s v="Jul-2018"/>
    <x v="21"/>
  </r>
  <r>
    <n v="2018"/>
    <n v="7"/>
    <s v="July"/>
    <x v="49"/>
    <n v="5290.629997"/>
    <n v="79"/>
    <n v="66.97"/>
    <n v="4.4025970000000001"/>
    <n v="0"/>
    <n v="0"/>
    <s v="Fix"/>
    <s v="Jul-2018"/>
    <x v="21"/>
  </r>
  <r>
    <n v="2018"/>
    <n v="7"/>
    <s v="July"/>
    <x v="68"/>
    <n v="4699.6699930000004"/>
    <n v="14"/>
    <n v="335.69"/>
    <n v="4.8571419999999996"/>
    <n v="0"/>
    <n v="0"/>
    <s v="Fix"/>
    <s v="Jul-2018"/>
    <x v="21"/>
  </r>
  <r>
    <n v="2018"/>
    <n v="7"/>
    <s v="July"/>
    <x v="22"/>
    <n v="4697.2099989999997"/>
    <n v="13"/>
    <n v="361.32"/>
    <n v="4.2307689999999996"/>
    <n v="0"/>
    <n v="0"/>
    <s v="Fix"/>
    <s v="Jul-2018"/>
    <x v="21"/>
  </r>
  <r>
    <n v="2018"/>
    <n v="7"/>
    <s v="July"/>
    <x v="28"/>
    <n v="4612.0000330000003"/>
    <n v="42"/>
    <n v="109.81"/>
    <s v="NULL"/>
    <s v="NULL"/>
    <s v="NULL"/>
    <s v="Fix"/>
    <s v="Jul-2018"/>
    <x v="21"/>
  </r>
  <r>
    <n v="2018"/>
    <n v="7"/>
    <s v="July"/>
    <x v="26"/>
    <n v="4077.4501150000001"/>
    <n v="25"/>
    <n v="163.1"/>
    <n v="4.4400000000000004"/>
    <n v="0"/>
    <n v="0"/>
    <s v="Fix"/>
    <s v="Jul-2018"/>
    <x v="21"/>
  </r>
  <r>
    <n v="2018"/>
    <n v="7"/>
    <s v="July"/>
    <x v="42"/>
    <n v="3875.9500309999999"/>
    <n v="21"/>
    <n v="184.57"/>
    <n v="4.6666660000000002"/>
    <n v="0"/>
    <n v="0"/>
    <s v="Fix"/>
    <s v="Jul-2018"/>
    <x v="21"/>
  </r>
  <r>
    <n v="2018"/>
    <n v="7"/>
    <s v="July"/>
    <x v="59"/>
    <n v="3785.1899950000002"/>
    <n v="19"/>
    <n v="199.22"/>
    <n v="4.2105259999999998"/>
    <n v="0"/>
    <n v="0"/>
    <s v="Fix"/>
    <s v="Jul-2018"/>
    <x v="21"/>
  </r>
  <r>
    <n v="2018"/>
    <n v="7"/>
    <s v="July"/>
    <x v="27"/>
    <n v="3378.1699960000001"/>
    <n v="59"/>
    <n v="57.26"/>
    <n v="4.3103439999999997"/>
    <n v="0"/>
    <n v="0"/>
    <s v="Fix"/>
    <s v="Jul-2018"/>
    <x v="21"/>
  </r>
  <r>
    <n v="2018"/>
    <n v="7"/>
    <s v="July"/>
    <x v="52"/>
    <n v="2984.3800350000001"/>
    <n v="24"/>
    <n v="124.35"/>
    <n v="4.2083329999999997"/>
    <n v="0"/>
    <n v="0"/>
    <s v="Fix"/>
    <s v="Jul-2018"/>
    <x v="21"/>
  </r>
  <r>
    <n v="2018"/>
    <n v="7"/>
    <s v="July"/>
    <x v="9"/>
    <n v="2657.8600120000001"/>
    <n v="15"/>
    <n v="177.19"/>
    <n v="4.1333330000000004"/>
    <n v="0"/>
    <n v="0"/>
    <s v="Fix"/>
    <s v="Jul-2018"/>
    <x v="21"/>
  </r>
  <r>
    <n v="2018"/>
    <n v="7"/>
    <s v="July"/>
    <x v="23"/>
    <n v="2106.810015"/>
    <n v="28"/>
    <n v="75.239999999999995"/>
    <n v="4.0384609999999999"/>
    <n v="0"/>
    <n v="0"/>
    <s v="Fix"/>
    <s v="Jul-2018"/>
    <x v="21"/>
  </r>
  <r>
    <n v="2018"/>
    <n v="7"/>
    <s v="July"/>
    <x v="24"/>
    <n v="2062.6399879999999"/>
    <n v="21"/>
    <n v="98.22"/>
    <n v="4.3809519999999997"/>
    <n v="0"/>
    <n v="0"/>
    <s v="Fix"/>
    <s v="Jul-2018"/>
    <x v="21"/>
  </r>
  <r>
    <n v="2018"/>
    <n v="7"/>
    <s v="July"/>
    <x v="51"/>
    <n v="1956.4700089999999"/>
    <n v="20"/>
    <n v="97.82"/>
    <n v="4.2"/>
    <n v="1"/>
    <n v="5"/>
    <s v="Fix"/>
    <s v="Jul-2018"/>
    <x v="21"/>
  </r>
  <r>
    <n v="2018"/>
    <n v="7"/>
    <s v="July"/>
    <x v="53"/>
    <n v="1888.9499989999999"/>
    <n v="15"/>
    <n v="125.93"/>
    <n v="4.2666659999999998"/>
    <n v="0"/>
    <n v="0"/>
    <s v="Fix"/>
    <s v="Jul-2018"/>
    <x v="21"/>
  </r>
  <r>
    <n v="2018"/>
    <n v="7"/>
    <s v="July"/>
    <x v="57"/>
    <n v="1843.199963"/>
    <n v="21"/>
    <n v="87.77"/>
    <n v="3.809523"/>
    <n v="0"/>
    <n v="0"/>
    <s v="Fix"/>
    <s v="Jul-2018"/>
    <x v="21"/>
  </r>
  <r>
    <n v="2018"/>
    <n v="7"/>
    <s v="July"/>
    <x v="43"/>
    <n v="1386.8999940000001"/>
    <n v="7"/>
    <n v="198.13"/>
    <n v="4"/>
    <n v="0"/>
    <n v="0"/>
    <s v="Fix"/>
    <s v="Jul-2018"/>
    <x v="21"/>
  </r>
  <r>
    <n v="2018"/>
    <n v="7"/>
    <s v="July"/>
    <x v="56"/>
    <n v="1335.1699980000001"/>
    <n v="17"/>
    <n v="78.540000000000006"/>
    <n v="4.8235289999999997"/>
    <n v="0"/>
    <n v="0"/>
    <s v="Fix"/>
    <s v="Jul-2018"/>
    <x v="21"/>
  </r>
  <r>
    <n v="2018"/>
    <n v="7"/>
    <s v="July"/>
    <x v="55"/>
    <n v="1178.5399910000001"/>
    <n v="7"/>
    <n v="168.36"/>
    <n v="4.4285709999999998"/>
    <n v="0"/>
    <n v="0"/>
    <s v="Fix"/>
    <s v="Jul-2018"/>
    <x v="21"/>
  </r>
  <r>
    <n v="2018"/>
    <n v="7"/>
    <s v="July"/>
    <x v="47"/>
    <n v="849.30000110000003"/>
    <n v="3"/>
    <n v="283.10000000000002"/>
    <n v="5"/>
    <n v="0"/>
    <n v="0"/>
    <s v="Fix"/>
    <s v="Jul-2018"/>
    <x v="21"/>
  </r>
  <r>
    <n v="2018"/>
    <n v="7"/>
    <s v="July"/>
    <x v="30"/>
    <n v="820.18998720000002"/>
    <n v="5"/>
    <n v="164.04"/>
    <n v="4.8"/>
    <n v="0"/>
    <n v="0"/>
    <s v="Fix"/>
    <s v="Jul-2018"/>
    <x v="21"/>
  </r>
  <r>
    <n v="2018"/>
    <n v="7"/>
    <s v="July"/>
    <x v="58"/>
    <n v="813.73000139999999"/>
    <n v="15"/>
    <n v="54.25"/>
    <n v="4.4000000000000004"/>
    <n v="1"/>
    <n v="6.67"/>
    <s v="Fix"/>
    <s v="Jul-2018"/>
    <x v="21"/>
  </r>
  <r>
    <n v="2018"/>
    <n v="7"/>
    <s v="July"/>
    <x v="62"/>
    <n v="677"/>
    <n v="2"/>
    <n v="338.5"/>
    <n v="3"/>
    <n v="1"/>
    <n v="50"/>
    <s v="Fix"/>
    <s v="Jul-2018"/>
    <x v="21"/>
  </r>
  <r>
    <n v="2018"/>
    <n v="7"/>
    <s v="July"/>
    <x v="67"/>
    <n v="654.57002160000002"/>
    <n v="10"/>
    <n v="65.459999999999994"/>
    <n v="3.7"/>
    <n v="0"/>
    <n v="0"/>
    <s v="Fix"/>
    <s v="Jul-2018"/>
    <x v="21"/>
  </r>
  <r>
    <n v="2018"/>
    <n v="7"/>
    <s v="July"/>
    <x v="64"/>
    <n v="509.56000230000001"/>
    <n v="8"/>
    <n v="63.7"/>
    <n v="4.375"/>
    <n v="0"/>
    <n v="0"/>
    <s v="Fix"/>
    <s v="Jul-2018"/>
    <x v="21"/>
  </r>
  <r>
    <n v="2018"/>
    <n v="7"/>
    <s v="July"/>
    <x v="54"/>
    <n v="402.77999690000001"/>
    <n v="6"/>
    <n v="67.13"/>
    <n v="3"/>
    <n v="0"/>
    <n v="0"/>
    <s v="Fix"/>
    <s v="Jul-2018"/>
    <x v="21"/>
  </r>
  <r>
    <n v="2018"/>
    <n v="7"/>
    <s v="July"/>
    <x v="31"/>
    <n v="208.7000027"/>
    <n v="5"/>
    <n v="41.74"/>
    <n v="5"/>
    <n v="0"/>
    <n v="0"/>
    <s v="Fix"/>
    <s v="Jul-2018"/>
    <x v="21"/>
  </r>
  <r>
    <n v="2018"/>
    <n v="7"/>
    <s v="July"/>
    <x v="14"/>
    <n v="186.78000639999999"/>
    <n v="4"/>
    <n v="46.7"/>
    <n v="4.75"/>
    <n v="0"/>
    <n v="0"/>
    <s v="Fix"/>
    <s v="Jul-2018"/>
    <x v="21"/>
  </r>
  <r>
    <n v="2018"/>
    <n v="7"/>
    <s v="July"/>
    <x v="73"/>
    <n v="172.03000449999999"/>
    <n v="7"/>
    <n v="24.58"/>
    <n v="2.8571420000000001"/>
    <n v="0"/>
    <n v="0"/>
    <s v="Fix"/>
    <s v="Jul-2018"/>
    <x v="21"/>
  </r>
  <r>
    <n v="2018"/>
    <n v="7"/>
    <s v="July"/>
    <x v="25"/>
    <n v="149.7999992"/>
    <n v="4"/>
    <n v="37.450000000000003"/>
    <n v="3.25"/>
    <n v="1"/>
    <n v="25"/>
    <s v="Fix"/>
    <s v="Jul-2018"/>
    <x v="21"/>
  </r>
  <r>
    <n v="2018"/>
    <n v="7"/>
    <s v="July"/>
    <x v="63"/>
    <n v="129.8999939"/>
    <n v="1"/>
    <n v="129.9"/>
    <n v="3"/>
    <n v="0"/>
    <n v="0"/>
    <s v="Fix"/>
    <s v="Jul-2018"/>
    <x v="21"/>
  </r>
  <r>
    <n v="2018"/>
    <n v="7"/>
    <s v="July"/>
    <x v="41"/>
    <n v="109.8000031"/>
    <n v="2"/>
    <n v="54.9"/>
    <n v="3"/>
    <n v="0"/>
    <n v="0"/>
    <s v="Fix"/>
    <s v="Jul-2018"/>
    <x v="21"/>
  </r>
  <r>
    <n v="2018"/>
    <n v="7"/>
    <s v="July"/>
    <x v="46"/>
    <n v="83.989997860000003"/>
    <n v="1"/>
    <n v="83.99"/>
    <n v="2"/>
    <n v="0"/>
    <n v="0"/>
    <s v="Fix"/>
    <s v="Jul-2018"/>
    <x v="21"/>
  </r>
  <r>
    <n v="2018"/>
    <n v="7"/>
    <s v="July"/>
    <x v="71"/>
    <n v="57.5"/>
    <n v="2"/>
    <n v="28.75"/>
    <n v="4.5"/>
    <n v="0"/>
    <n v="0"/>
    <s v="Fix"/>
    <s v="Jul-2018"/>
    <x v="21"/>
  </r>
  <r>
    <n v="2018"/>
    <n v="7"/>
    <s v="July"/>
    <x v="72"/>
    <n v="47.989999769999997"/>
    <n v="2"/>
    <n v="23.99"/>
    <n v="5"/>
    <n v="0"/>
    <n v="0"/>
    <s v="Fix"/>
    <s v="Jul-2018"/>
    <x v="21"/>
  </r>
  <r>
    <n v="2018"/>
    <n v="7"/>
    <s v="July"/>
    <x v="44"/>
    <n v="38.699998860000001"/>
    <n v="2"/>
    <n v="19.350000000000001"/>
    <n v="3.5"/>
    <n v="0"/>
    <n v="0"/>
    <s v="Fix"/>
    <s v="Jul-2018"/>
    <x v="21"/>
  </r>
  <r>
    <n v="2018"/>
    <n v="8"/>
    <s v="August"/>
    <x v="0"/>
    <n v="120803.94040000001"/>
    <n v="778"/>
    <n v="155.27000000000001"/>
    <n v="4.3767740000000002"/>
    <n v="6"/>
    <n v="0.77"/>
    <s v="Fix"/>
    <s v="Aug-2018"/>
    <x v="22"/>
  </r>
  <r>
    <n v="2018"/>
    <n v="8"/>
    <s v="August"/>
    <x v="6"/>
    <n v="72277.059899999993"/>
    <n v="392"/>
    <n v="184.38"/>
    <n v="4.1913260000000001"/>
    <n v="0"/>
    <n v="0"/>
    <s v="Fix"/>
    <s v="Aug-2018"/>
    <x v="22"/>
  </r>
  <r>
    <n v="2018"/>
    <n v="8"/>
    <s v="August"/>
    <x v="21"/>
    <n v="61035.879950000002"/>
    <n v="558"/>
    <n v="109.38"/>
    <n v="4.1245479999999999"/>
    <n v="0"/>
    <n v="0"/>
    <s v="Fix"/>
    <s v="Aug-2018"/>
    <x v="22"/>
  </r>
  <r>
    <n v="2018"/>
    <n v="8"/>
    <s v="August"/>
    <x v="16"/>
    <n v="60202.670080000004"/>
    <n v="562"/>
    <n v="107.12"/>
    <n v="4.3225800000000003"/>
    <n v="4"/>
    <n v="0.71"/>
    <s v="Fix"/>
    <s v="Aug-2018"/>
    <x v="22"/>
  </r>
  <r>
    <n v="2018"/>
    <n v="8"/>
    <s v="August"/>
    <x v="7"/>
    <n v="51500.159890000003"/>
    <n v="436"/>
    <n v="118.12"/>
    <n v="4.3839079999999999"/>
    <n v="2"/>
    <n v="0.46"/>
    <s v="Fix"/>
    <s v="Aug-2018"/>
    <x v="22"/>
  </r>
  <r>
    <n v="2018"/>
    <n v="8"/>
    <s v="August"/>
    <x v="8"/>
    <n v="45380.889969999997"/>
    <n v="352"/>
    <n v="128.91999999999999"/>
    <n v="4.2336179999999999"/>
    <n v="3"/>
    <n v="0.85"/>
    <s v="Fix"/>
    <s v="Aug-2018"/>
    <x v="22"/>
  </r>
  <r>
    <n v="2018"/>
    <n v="8"/>
    <s v="August"/>
    <x v="1"/>
    <n v="41380.150070000003"/>
    <n v="344"/>
    <n v="120.29"/>
    <n v="4.2623899999999999"/>
    <n v="1"/>
    <n v="0.28999999999999998"/>
    <s v="Fix"/>
    <s v="Aug-2018"/>
    <x v="22"/>
  </r>
  <r>
    <n v="2018"/>
    <n v="8"/>
    <s v="August"/>
    <x v="11"/>
    <n v="40293.92974"/>
    <n v="384"/>
    <n v="104.93"/>
    <n v="4.3159260000000002"/>
    <n v="1"/>
    <n v="0.26"/>
    <s v="Fix"/>
    <s v="Aug-2018"/>
    <x v="22"/>
  </r>
  <r>
    <n v="2018"/>
    <n v="8"/>
    <s v="August"/>
    <x v="2"/>
    <n v="37541.889929999998"/>
    <n v="246"/>
    <n v="152.61000000000001"/>
    <n v="4.0737699999999997"/>
    <n v="0"/>
    <n v="0"/>
    <s v="Fix"/>
    <s v="Aug-2018"/>
    <x v="22"/>
  </r>
  <r>
    <n v="2018"/>
    <n v="8"/>
    <s v="August"/>
    <x v="3"/>
    <n v="25017.68995"/>
    <n v="207"/>
    <n v="120.86"/>
    <n v="4.3463409999999998"/>
    <n v="0"/>
    <n v="0"/>
    <s v="Fix"/>
    <s v="Aug-2018"/>
    <x v="22"/>
  </r>
  <r>
    <n v="2018"/>
    <n v="8"/>
    <s v="August"/>
    <x v="19"/>
    <n v="24857.06998"/>
    <n v="167"/>
    <n v="148.84"/>
    <n v="4.3712569999999999"/>
    <n v="1"/>
    <n v="0.6"/>
    <s v="Fix"/>
    <s v="Aug-2018"/>
    <x v="22"/>
  </r>
  <r>
    <n v="2018"/>
    <n v="8"/>
    <s v="August"/>
    <x v="39"/>
    <n v="22917.16001"/>
    <n v="124"/>
    <n v="184.82"/>
    <n v="4.2177410000000002"/>
    <n v="0"/>
    <n v="0"/>
    <s v="Fix"/>
    <s v="Aug-2018"/>
    <x v="22"/>
  </r>
  <r>
    <n v="2018"/>
    <n v="8"/>
    <s v="August"/>
    <x v="10"/>
    <n v="22004.149969999999"/>
    <n v="206"/>
    <n v="106.82"/>
    <n v="4.1650479999999996"/>
    <n v="1"/>
    <n v="0.49"/>
    <s v="Fix"/>
    <s v="Aug-2018"/>
    <x v="22"/>
  </r>
  <r>
    <n v="2018"/>
    <n v="8"/>
    <s v="August"/>
    <x v="4"/>
    <n v="17753.050039999998"/>
    <n v="155"/>
    <n v="114.54"/>
    <n v="4.1513150000000003"/>
    <n v="4"/>
    <n v="2.58"/>
    <s v="Fix"/>
    <s v="Aug-2018"/>
    <x v="22"/>
  </r>
  <r>
    <n v="2018"/>
    <n v="8"/>
    <s v="August"/>
    <x v="12"/>
    <n v="16432.340029999999"/>
    <n v="122"/>
    <n v="134.69"/>
    <n v="4.2459009999999999"/>
    <n v="1"/>
    <n v="0.82"/>
    <s v="Fix"/>
    <s v="Aug-2018"/>
    <x v="22"/>
  </r>
  <r>
    <n v="2018"/>
    <n v="8"/>
    <s v="August"/>
    <x v="17"/>
    <n v="16354.57994"/>
    <n v="120"/>
    <n v="136.29"/>
    <n v="4.0083330000000004"/>
    <n v="0"/>
    <n v="0"/>
    <s v="Fix"/>
    <s v="Aug-2018"/>
    <x v="22"/>
  </r>
  <r>
    <n v="2018"/>
    <n v="8"/>
    <s v="August"/>
    <x v="35"/>
    <n v="15563.6499"/>
    <n v="159"/>
    <n v="97.88"/>
    <n v="4.5759489999999996"/>
    <n v="0"/>
    <n v="0"/>
    <s v="Fix"/>
    <s v="Aug-2018"/>
    <x v="22"/>
  </r>
  <r>
    <n v="2018"/>
    <n v="8"/>
    <s v="August"/>
    <x v="13"/>
    <n v="10769.46999"/>
    <n v="115"/>
    <n v="93.65"/>
    <n v="4.1391299999999998"/>
    <n v="0"/>
    <n v="0"/>
    <s v="Fix"/>
    <s v="Aug-2018"/>
    <x v="22"/>
  </r>
  <r>
    <n v="2018"/>
    <n v="8"/>
    <s v="August"/>
    <x v="38"/>
    <n v="10519.34014"/>
    <n v="39"/>
    <n v="269.73"/>
    <n v="4.4358969999999998"/>
    <n v="0"/>
    <n v="0"/>
    <s v="Fix"/>
    <s v="Aug-2018"/>
    <x v="22"/>
  </r>
  <r>
    <n v="2018"/>
    <n v="8"/>
    <s v="August"/>
    <x v="33"/>
    <n v="9882.7599489999993"/>
    <n v="15"/>
    <n v="658.85"/>
    <n v="3.733333"/>
    <n v="1"/>
    <n v="6.67"/>
    <s v="Fix"/>
    <s v="Aug-2018"/>
    <x v="22"/>
  </r>
  <r>
    <n v="2018"/>
    <n v="8"/>
    <s v="August"/>
    <x v="32"/>
    <n v="8711.5"/>
    <n v="10"/>
    <n v="871.15"/>
    <n v="3.7"/>
    <n v="0"/>
    <n v="0"/>
    <s v="Fix"/>
    <s v="Aug-2018"/>
    <x v="22"/>
  </r>
  <r>
    <n v="2018"/>
    <n v="8"/>
    <s v="August"/>
    <x v="27"/>
    <n v="8256.1800120000007"/>
    <n v="103"/>
    <n v="80.16"/>
    <n v="4.5436889999999996"/>
    <n v="0"/>
    <n v="0"/>
    <s v="Fix"/>
    <s v="Aug-2018"/>
    <x v="22"/>
  </r>
  <r>
    <n v="2018"/>
    <n v="8"/>
    <s v="August"/>
    <x v="69"/>
    <n v="8212.5300200000001"/>
    <n v="56"/>
    <n v="146.65"/>
    <n v="3.9642849999999998"/>
    <n v="0"/>
    <n v="0"/>
    <s v="Fix"/>
    <s v="Aug-2018"/>
    <x v="22"/>
  </r>
  <r>
    <n v="2018"/>
    <n v="8"/>
    <s v="August"/>
    <x v="20"/>
    <n v="8177.4300370000001"/>
    <n v="122"/>
    <n v="67.03"/>
    <n v="4.2459009999999999"/>
    <n v="0"/>
    <n v="0"/>
    <s v="Fix"/>
    <s v="Aug-2018"/>
    <x v="22"/>
  </r>
  <r>
    <n v="2018"/>
    <n v="8"/>
    <s v="August"/>
    <x v="50"/>
    <n v="7016.1599919999999"/>
    <n v="45"/>
    <n v="155.91"/>
    <n v="3.8444440000000002"/>
    <n v="0"/>
    <n v="0"/>
    <s v="Fix"/>
    <s v="Aug-2018"/>
    <x v="22"/>
  </r>
  <r>
    <n v="2018"/>
    <n v="8"/>
    <s v="August"/>
    <x v="37"/>
    <n v="6847.9099120000001"/>
    <n v="64"/>
    <n v="107"/>
    <n v="4.3125"/>
    <n v="1"/>
    <n v="1.56"/>
    <s v="Fix"/>
    <s v="Aug-2018"/>
    <x v="22"/>
  </r>
  <r>
    <n v="2018"/>
    <n v="8"/>
    <s v="August"/>
    <x v="34"/>
    <n v="6759.0599769999999"/>
    <n v="25"/>
    <n v="270.36"/>
    <n v="4"/>
    <n v="1"/>
    <n v="4"/>
    <s v="Fix"/>
    <s v="Aug-2018"/>
    <x v="22"/>
  </r>
  <r>
    <n v="2018"/>
    <n v="8"/>
    <s v="August"/>
    <x v="15"/>
    <n v="6758.8699489999999"/>
    <n v="24"/>
    <n v="281.62"/>
    <n v="4.25"/>
    <n v="0"/>
    <n v="0"/>
    <s v="Fix"/>
    <s v="Aug-2018"/>
    <x v="22"/>
  </r>
  <r>
    <n v="2018"/>
    <n v="8"/>
    <s v="August"/>
    <x v="49"/>
    <n v="6584.4000130000004"/>
    <n v="64"/>
    <n v="102.88"/>
    <n v="4.2109370000000004"/>
    <n v="1"/>
    <n v="1.56"/>
    <s v="Fix"/>
    <s v="Aug-2018"/>
    <x v="22"/>
  </r>
  <r>
    <n v="2018"/>
    <n v="8"/>
    <s v="August"/>
    <x v="36"/>
    <n v="5223.3399429999999"/>
    <n v="38"/>
    <n v="137.46"/>
    <n v="3.8157890000000001"/>
    <n v="0"/>
    <n v="0"/>
    <s v="Fix"/>
    <s v="Aug-2018"/>
    <x v="22"/>
  </r>
  <r>
    <n v="2018"/>
    <n v="8"/>
    <s v="August"/>
    <x v="45"/>
    <n v="5021.0899730000001"/>
    <n v="14"/>
    <n v="358.65"/>
    <n v="3.8571420000000001"/>
    <n v="0"/>
    <n v="0"/>
    <s v="Fix"/>
    <s v="Aug-2018"/>
    <x v="22"/>
  </r>
  <r>
    <n v="2018"/>
    <n v="8"/>
    <s v="August"/>
    <x v="5"/>
    <n v="4824.4899640000003"/>
    <n v="56"/>
    <n v="86.15"/>
    <n v="3.9285709999999998"/>
    <n v="1"/>
    <n v="1.79"/>
    <s v="Fix"/>
    <s v="Aug-2018"/>
    <x v="22"/>
  </r>
  <r>
    <n v="2018"/>
    <n v="8"/>
    <s v="August"/>
    <x v="53"/>
    <n v="4070.1199929999998"/>
    <n v="22"/>
    <n v="185.01"/>
    <n v="3.818181"/>
    <n v="1"/>
    <n v="4.55"/>
    <s v="Fix"/>
    <s v="Aug-2018"/>
    <x v="22"/>
  </r>
  <r>
    <n v="2018"/>
    <n v="8"/>
    <s v="August"/>
    <x v="51"/>
    <n v="3688.759998"/>
    <n v="19"/>
    <n v="194.15"/>
    <n v="3.7894730000000001"/>
    <n v="0"/>
    <n v="0"/>
    <s v="Fix"/>
    <s v="Aug-2018"/>
    <x v="22"/>
  </r>
  <r>
    <n v="2018"/>
    <n v="8"/>
    <s v="August"/>
    <x v="9"/>
    <n v="3556.9000169999999"/>
    <n v="17"/>
    <n v="209.23"/>
    <n v="4"/>
    <n v="0"/>
    <n v="0"/>
    <s v="Fix"/>
    <s v="Aug-2018"/>
    <x v="22"/>
  </r>
  <r>
    <n v="2018"/>
    <n v="8"/>
    <s v="August"/>
    <x v="68"/>
    <n v="2996.7199989999999"/>
    <n v="17"/>
    <n v="176.28"/>
    <n v="4.294117"/>
    <n v="0"/>
    <n v="0"/>
    <s v="Fix"/>
    <s v="Aug-2018"/>
    <x v="22"/>
  </r>
  <r>
    <n v="2018"/>
    <n v="8"/>
    <s v="August"/>
    <x v="18"/>
    <n v="2724.1699699999999"/>
    <n v="10"/>
    <n v="272.42"/>
    <n v="4.2"/>
    <n v="0"/>
    <n v="0"/>
    <s v="Fix"/>
    <s v="Aug-2018"/>
    <x v="22"/>
  </r>
  <r>
    <n v="2018"/>
    <n v="8"/>
    <s v="August"/>
    <x v="28"/>
    <n v="2419.04"/>
    <n v="30"/>
    <n v="80.63"/>
    <s v="NULL"/>
    <s v="NULL"/>
    <s v="NULL"/>
    <s v="Fix"/>
    <s v="Aug-2018"/>
    <x v="22"/>
  </r>
  <r>
    <n v="2018"/>
    <n v="8"/>
    <s v="August"/>
    <x v="22"/>
    <n v="2364.6899950000002"/>
    <n v="9"/>
    <n v="262.74"/>
    <n v="4"/>
    <n v="0"/>
    <n v="0"/>
    <s v="Fix"/>
    <s v="Aug-2018"/>
    <x v="22"/>
  </r>
  <r>
    <n v="2018"/>
    <n v="8"/>
    <s v="August"/>
    <x v="52"/>
    <n v="2241.2800219999999"/>
    <n v="15"/>
    <n v="149.41999999999999"/>
    <n v="4.5999999999999996"/>
    <n v="0"/>
    <n v="0"/>
    <s v="Fix"/>
    <s v="Aug-2018"/>
    <x v="22"/>
  </r>
  <r>
    <n v="2018"/>
    <n v="8"/>
    <s v="August"/>
    <x v="43"/>
    <n v="2197"/>
    <n v="10"/>
    <n v="219.7"/>
    <n v="4.5"/>
    <n v="0"/>
    <n v="0"/>
    <s v="Fix"/>
    <s v="Aug-2018"/>
    <x v="22"/>
  </r>
  <r>
    <n v="2018"/>
    <n v="8"/>
    <s v="August"/>
    <x v="42"/>
    <n v="2156.4700130000001"/>
    <n v="20"/>
    <n v="107.82"/>
    <n v="4.25"/>
    <n v="0"/>
    <n v="0"/>
    <s v="Fix"/>
    <s v="Aug-2018"/>
    <x v="22"/>
  </r>
  <r>
    <n v="2018"/>
    <n v="8"/>
    <s v="August"/>
    <x v="24"/>
    <n v="2069.3999880000001"/>
    <n v="24"/>
    <n v="86.22"/>
    <n v="4.4166660000000002"/>
    <n v="0"/>
    <n v="0"/>
    <s v="Fix"/>
    <s v="Aug-2018"/>
    <x v="22"/>
  </r>
  <r>
    <n v="2018"/>
    <n v="8"/>
    <s v="August"/>
    <x v="73"/>
    <n v="1838.499992"/>
    <n v="5"/>
    <n v="367.7"/>
    <n v="3.6"/>
    <n v="1"/>
    <n v="20"/>
    <s v="Fix"/>
    <s v="Aug-2018"/>
    <x v="22"/>
  </r>
  <r>
    <n v="2018"/>
    <n v="8"/>
    <s v="August"/>
    <x v="59"/>
    <n v="1825.5900059999999"/>
    <n v="16"/>
    <n v="114.1"/>
    <n v="4.5625"/>
    <n v="0"/>
    <n v="0"/>
    <s v="Fix"/>
    <s v="Aug-2018"/>
    <x v="22"/>
  </r>
  <r>
    <n v="2018"/>
    <n v="8"/>
    <s v="August"/>
    <x v="26"/>
    <n v="1564.7800179999999"/>
    <n v="34"/>
    <n v="46.02"/>
    <n v="4.3529410000000004"/>
    <n v="0"/>
    <n v="0"/>
    <s v="Fix"/>
    <s v="Aug-2018"/>
    <x v="22"/>
  </r>
  <r>
    <n v="2018"/>
    <n v="8"/>
    <s v="August"/>
    <x v="23"/>
    <n v="1483.7900030000001"/>
    <n v="28"/>
    <n v="52.99"/>
    <n v="4.7142850000000003"/>
    <n v="0"/>
    <n v="0"/>
    <s v="Fix"/>
    <s v="Aug-2018"/>
    <x v="22"/>
  </r>
  <r>
    <n v="2018"/>
    <n v="8"/>
    <s v="August"/>
    <x v="57"/>
    <n v="1481.389977"/>
    <n v="18"/>
    <n v="82.3"/>
    <n v="4.1111110000000002"/>
    <n v="0"/>
    <n v="0"/>
    <s v="Fix"/>
    <s v="Aug-2018"/>
    <x v="22"/>
  </r>
  <r>
    <n v="2018"/>
    <n v="8"/>
    <s v="August"/>
    <x v="56"/>
    <n v="1477.2300090000001"/>
    <n v="25"/>
    <n v="59.09"/>
    <n v="3.96"/>
    <n v="0"/>
    <n v="0"/>
    <s v="Fix"/>
    <s v="Aug-2018"/>
    <x v="22"/>
  </r>
  <r>
    <n v="2018"/>
    <n v="8"/>
    <s v="August"/>
    <x v="71"/>
    <n v="1285.289986"/>
    <n v="14"/>
    <n v="91.81"/>
    <n v="4.2857139999999996"/>
    <n v="0"/>
    <n v="0"/>
    <s v="Fix"/>
    <s v="Aug-2018"/>
    <x v="22"/>
  </r>
  <r>
    <n v="2018"/>
    <n v="8"/>
    <s v="August"/>
    <x v="61"/>
    <n v="1255.7700170000001"/>
    <n v="14"/>
    <n v="89.7"/>
    <n v="4.461538"/>
    <n v="0"/>
    <n v="0"/>
    <s v="Fix"/>
    <s v="Aug-2018"/>
    <x v="22"/>
  </r>
  <r>
    <n v="2018"/>
    <n v="8"/>
    <s v="August"/>
    <x v="58"/>
    <n v="1028.610001"/>
    <n v="16"/>
    <n v="64.290000000000006"/>
    <n v="4.75"/>
    <n v="0"/>
    <n v="0"/>
    <s v="Fix"/>
    <s v="Aug-2018"/>
    <x v="22"/>
  </r>
  <r>
    <n v="2018"/>
    <n v="8"/>
    <s v="August"/>
    <x v="14"/>
    <n v="949.27000050000004"/>
    <n v="8"/>
    <n v="118.66"/>
    <n v="3.75"/>
    <n v="0"/>
    <n v="0"/>
    <s v="Fix"/>
    <s v="Aug-2018"/>
    <x v="22"/>
  </r>
  <r>
    <n v="2018"/>
    <n v="8"/>
    <s v="August"/>
    <x v="67"/>
    <n v="901.75998689999994"/>
    <n v="9"/>
    <n v="100.2"/>
    <n v="4.555555"/>
    <n v="0"/>
    <n v="0"/>
    <s v="Fix"/>
    <s v="Aug-2018"/>
    <x v="22"/>
  </r>
  <r>
    <n v="2018"/>
    <n v="8"/>
    <s v="August"/>
    <x v="54"/>
    <n v="749"/>
    <n v="1"/>
    <n v="749"/>
    <n v="5"/>
    <n v="0"/>
    <n v="0"/>
    <s v="Fix"/>
    <s v="Aug-2018"/>
    <x v="22"/>
  </r>
  <r>
    <n v="2018"/>
    <n v="8"/>
    <s v="August"/>
    <x v="55"/>
    <n v="685.28000450000002"/>
    <n v="9"/>
    <n v="76.14"/>
    <n v="4"/>
    <n v="0"/>
    <n v="0"/>
    <s v="Fix"/>
    <s v="Aug-2018"/>
    <x v="22"/>
  </r>
  <r>
    <n v="2018"/>
    <n v="8"/>
    <s v="August"/>
    <x v="64"/>
    <n v="564.37000179999995"/>
    <n v="11"/>
    <n v="51.31"/>
    <n v="4"/>
    <n v="0"/>
    <n v="0"/>
    <s v="Fix"/>
    <s v="Aug-2018"/>
    <x v="22"/>
  </r>
  <r>
    <n v="2018"/>
    <n v="8"/>
    <s v="August"/>
    <x v="47"/>
    <n v="497.81000230000001"/>
    <n v="6"/>
    <n v="82.97"/>
    <n v="4.6666660000000002"/>
    <n v="0"/>
    <n v="0"/>
    <s v="Fix"/>
    <s v="Aug-2018"/>
    <x v="22"/>
  </r>
  <r>
    <n v="2018"/>
    <n v="8"/>
    <s v="August"/>
    <x v="30"/>
    <n v="471.29999350000003"/>
    <n v="3"/>
    <n v="157.1"/>
    <n v="4.6666660000000002"/>
    <n v="0"/>
    <n v="0"/>
    <s v="Fix"/>
    <s v="Aug-2018"/>
    <x v="22"/>
  </r>
  <r>
    <n v="2018"/>
    <n v="8"/>
    <s v="August"/>
    <x v="31"/>
    <n v="381.69001009999999"/>
    <n v="3"/>
    <n v="127.23"/>
    <n v="4.6666660000000002"/>
    <n v="0"/>
    <n v="0"/>
    <s v="Fix"/>
    <s v="Aug-2018"/>
    <x v="22"/>
  </r>
  <r>
    <n v="2018"/>
    <n v="8"/>
    <s v="August"/>
    <x v="25"/>
    <n v="231.88999939999999"/>
    <n v="3"/>
    <n v="77.3"/>
    <n v="4.6666660000000002"/>
    <n v="0"/>
    <n v="0"/>
    <s v="Fix"/>
    <s v="Aug-2018"/>
    <x v="22"/>
  </r>
  <r>
    <n v="2018"/>
    <n v="8"/>
    <s v="August"/>
    <x v="41"/>
    <n v="219.9000015"/>
    <n v="2"/>
    <n v="109.95"/>
    <n v="2"/>
    <n v="0"/>
    <n v="0"/>
    <s v="Fix"/>
    <s v="Aug-2018"/>
    <x v="22"/>
  </r>
  <r>
    <n v="2018"/>
    <n v="8"/>
    <s v="August"/>
    <x v="62"/>
    <n v="219"/>
    <n v="1"/>
    <n v="219"/>
    <n v="4"/>
    <n v="0"/>
    <n v="0"/>
    <s v="Fix"/>
    <s v="Aug-2018"/>
    <x v="22"/>
  </r>
  <r>
    <n v="2018"/>
    <n v="8"/>
    <s v="August"/>
    <x v="29"/>
    <n v="129.97000499999999"/>
    <n v="2"/>
    <n v="64.989999999999995"/>
    <n v="4"/>
    <n v="0"/>
    <n v="0"/>
    <s v="Fix"/>
    <s v="Aug-2018"/>
    <x v="22"/>
  </r>
  <r>
    <n v="2018"/>
    <n v="8"/>
    <s v="August"/>
    <x v="60"/>
    <n v="69.900001529999997"/>
    <n v="1"/>
    <n v="69.900000000000006"/>
    <n v="3"/>
    <n v="0"/>
    <n v="0"/>
    <s v="Fix"/>
    <s v="Aug-2018"/>
    <x v="22"/>
  </r>
  <r>
    <n v="2018"/>
    <n v="8"/>
    <s v="August"/>
    <x v="46"/>
    <n v="8.8999996190000008"/>
    <n v="1"/>
    <n v="8.9"/>
    <n v="5"/>
    <n v="0"/>
    <n v="0"/>
    <s v="Fix"/>
    <s v="Aug-2018"/>
    <x v="22"/>
  </r>
  <r>
    <n v="2018"/>
    <n v="9"/>
    <s v="September"/>
    <x v="42"/>
    <n v="145"/>
    <n v="1"/>
    <n v="145"/>
    <n v="1"/>
    <n v="0"/>
    <n v="0"/>
    <s v="Fix"/>
    <s v="Sep-2018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 rowHeaderCaption="Product Category" colHeaderCaption="">
  <location ref="A1:Z77" firstHeaderRow="1" firstDataRow="2" firstDataCol="1"/>
  <pivotFields count="13">
    <pivotField showAll="0"/>
    <pivotField showAll="0"/>
    <pivotField showAll="0"/>
    <pivotField axis="axisRow" showAll="0">
      <items count="75">
        <item x="45"/>
        <item x="27"/>
        <item x="58"/>
        <item x="57"/>
        <item x="67"/>
        <item x="71"/>
        <item x="64"/>
        <item x="24"/>
        <item x="8"/>
        <item x="10"/>
        <item x="56"/>
        <item x="0"/>
        <item x="4"/>
        <item x="21"/>
        <item x="52"/>
        <item x="44"/>
        <item x="50"/>
        <item x="70"/>
        <item x="55"/>
        <item x="9"/>
        <item x="5"/>
        <item x="39"/>
        <item x="61"/>
        <item x="69"/>
        <item x="51"/>
        <item x="53"/>
        <item x="17"/>
        <item x="46"/>
        <item x="49"/>
        <item x="33"/>
        <item x="13"/>
        <item x="34"/>
        <item x="7"/>
        <item x="20"/>
        <item x="30"/>
        <item x="60"/>
        <item x="29"/>
        <item x="66"/>
        <item x="31"/>
        <item x="41"/>
        <item x="12"/>
        <item x="72"/>
        <item x="25"/>
        <item x="22"/>
        <item x="11"/>
        <item x="38"/>
        <item x="65"/>
        <item x="54"/>
        <item x="26"/>
        <item x="23"/>
        <item x="37"/>
        <item x="14"/>
        <item x="63"/>
        <item x="42"/>
        <item x="1"/>
        <item x="15"/>
        <item x="43"/>
        <item x="36"/>
        <item x="47"/>
        <item x="28"/>
        <item x="35"/>
        <item x="62"/>
        <item x="32"/>
        <item x="3"/>
        <item x="19"/>
        <item x="68"/>
        <item x="73"/>
        <item x="6"/>
        <item x="40"/>
        <item x="59"/>
        <item x="48"/>
        <item x="2"/>
        <item x="18"/>
        <item x="1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axis="axisCol" numFmtId="164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</pivotFields>
  <rowFields count="1">
    <field x="3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Fields count="1">
    <field x="12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Sum of total_revenue" fld="4" baseField="0" baseItem="0"/>
  </dataFields>
  <formats count="29">
    <format dxfId="135">
      <pivotArea type="all" dataOnly="0" outline="0" fieldPosition="0"/>
    </format>
    <format dxfId="134">
      <pivotArea outline="0" collapsedLevelsAreSubtotals="1" fieldPosition="0"/>
    </format>
    <format dxfId="133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32">
      <pivotArea dataOnly="0" labelOnly="1" fieldPosition="0">
        <references count="1">
          <reference field="3" count="24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</reference>
        </references>
      </pivotArea>
    </format>
    <format dxfId="131">
      <pivotArea dataOnly="0" labelOnly="1" grandRow="1" outline="0" fieldPosition="0"/>
    </format>
    <format dxfId="130">
      <pivotArea dataOnly="0" labelOnly="1" fieldPosition="0">
        <references count="1">
          <reference field="12" count="0"/>
        </references>
      </pivotArea>
    </format>
    <format dxfId="129">
      <pivotArea dataOnly="0" labelOnly="1" grandCol="1" outline="0" fieldPosition="0"/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5">
      <pivotArea dataOnly="0" labelOnly="1" fieldPosition="0">
        <references count="1">
          <reference field="3" count="24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</reference>
        </references>
      </pivotArea>
    </format>
    <format dxfId="124">
      <pivotArea dataOnly="0" labelOnly="1" grandRow="1" outline="0" fieldPosition="0"/>
    </format>
    <format dxfId="123">
      <pivotArea field="3" type="button" dataOnly="0" labelOnly="1" outline="0" axis="axisRow" fieldPosition="0"/>
    </format>
    <format dxfId="122">
      <pivotArea dataOnly="0" labelOnly="1" fieldPosition="0">
        <references count="1">
          <reference field="12" count="0"/>
        </references>
      </pivotArea>
    </format>
    <format dxfId="121">
      <pivotArea dataOnly="0" labelOnly="1" grandCol="1" outline="0" fieldPosition="0"/>
    </format>
    <format dxfId="120">
      <pivotArea field="3" type="button" dataOnly="0" labelOnly="1" outline="0" axis="axisRow" fieldPosition="0"/>
    </format>
    <format dxfId="119">
      <pivotArea dataOnly="0" labelOnly="1" fieldPosition="0">
        <references count="1">
          <reference field="12" count="0"/>
        </references>
      </pivotArea>
    </format>
    <format dxfId="118">
      <pivotArea dataOnly="0" labelOnly="1" grandCol="1" outline="0" fieldPosition="0"/>
    </format>
    <format dxfId="117">
      <pivotArea field="3" type="button" dataOnly="0" labelOnly="1" outline="0" axis="axisRow" fieldPosition="0"/>
    </format>
    <format dxfId="116">
      <pivotArea dataOnly="0" labelOnly="1" fieldPosition="0">
        <references count="1">
          <reference field="12" count="0"/>
        </references>
      </pivotArea>
    </format>
    <format dxfId="115">
      <pivotArea dataOnly="0" labelOnly="1" grandCol="1" outline="0" fieldPosition="0"/>
    </format>
    <format dxfId="114">
      <pivotArea field="3" type="button" dataOnly="0" labelOnly="1" outline="0" axis="axisRow" fieldPosition="0"/>
    </format>
    <format dxfId="113">
      <pivotArea dataOnly="0" labelOnly="1" fieldPosition="0">
        <references count="1">
          <reference field="12" count="0"/>
        </references>
      </pivotArea>
    </format>
    <format dxfId="112">
      <pivotArea dataOnly="0" labelOnly="1" grandCol="1" outline="0" fieldPosition="0"/>
    </format>
    <format dxfId="111">
      <pivotArea field="3" type="button" dataOnly="0" labelOnly="1" outline="0" axis="axisRow" fieldPosition="0"/>
    </format>
    <format dxfId="110">
      <pivotArea dataOnly="0" labelOnly="1" fieldPosition="0">
        <references count="1">
          <reference field="12" count="0"/>
        </references>
      </pivotArea>
    </format>
    <format dxfId="109">
      <pivotArea dataOnly="0" labelOnly="1" grandCol="1" outline="0" fieldPosition="0"/>
    </format>
    <format dxfId="108">
      <pivotArea type="origin" dataOnly="0" labelOnly="1" outline="0" fieldPosition="0"/>
    </format>
    <format dxfId="107">
      <pivotArea type="origin" dataOnly="0" labelOnly="1" outline="0" fieldPosition="0"/>
    </format>
  </formats>
  <chartFormats count="24"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3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4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5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6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7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8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9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0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1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2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 rowHeaderCaption="Product Category" colHeaderCaption="">
  <location ref="A1:Z77" firstHeaderRow="1" firstDataRow="2" firstDataCol="1"/>
  <pivotFields count="13">
    <pivotField showAll="0"/>
    <pivotField showAll="0"/>
    <pivotField showAll="0"/>
    <pivotField axis="axisRow" showAll="0">
      <items count="75">
        <item x="45"/>
        <item x="27"/>
        <item x="58"/>
        <item x="57"/>
        <item x="67"/>
        <item x="71"/>
        <item x="64"/>
        <item x="24"/>
        <item x="8"/>
        <item x="10"/>
        <item x="56"/>
        <item x="0"/>
        <item x="4"/>
        <item x="21"/>
        <item x="52"/>
        <item x="44"/>
        <item x="50"/>
        <item x="70"/>
        <item x="55"/>
        <item x="9"/>
        <item x="5"/>
        <item x="39"/>
        <item x="61"/>
        <item x="69"/>
        <item x="51"/>
        <item x="53"/>
        <item x="17"/>
        <item x="46"/>
        <item x="49"/>
        <item x="33"/>
        <item x="13"/>
        <item x="34"/>
        <item x="7"/>
        <item x="20"/>
        <item x="30"/>
        <item x="60"/>
        <item x="29"/>
        <item x="66"/>
        <item x="31"/>
        <item x="41"/>
        <item x="12"/>
        <item x="72"/>
        <item x="25"/>
        <item x="22"/>
        <item x="11"/>
        <item x="38"/>
        <item x="65"/>
        <item x="54"/>
        <item x="26"/>
        <item x="23"/>
        <item x="37"/>
        <item x="14"/>
        <item x="63"/>
        <item x="42"/>
        <item x="1"/>
        <item x="15"/>
        <item x="43"/>
        <item x="36"/>
        <item x="47"/>
        <item x="28"/>
        <item x="35"/>
        <item x="62"/>
        <item x="32"/>
        <item x="3"/>
        <item x="19"/>
        <item x="68"/>
        <item x="73"/>
        <item x="6"/>
        <item x="40"/>
        <item x="59"/>
        <item x="48"/>
        <item x="2"/>
        <item x="18"/>
        <item x="1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axis="axisCol" numFmtId="164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</pivotFields>
  <rowFields count="1">
    <field x="3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Fields count="1">
    <field x="12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Monthly Revenue" fld="4" baseField="0" baseItem="0"/>
  </dataFields>
  <formats count="36">
    <format dxfId="106">
      <pivotArea type="all" dataOnly="0" outline="0" fieldPosition="0"/>
    </format>
    <format dxfId="105">
      <pivotArea outline="0" collapsedLevelsAreSubtotals="1" fieldPosition="0"/>
    </format>
    <format dxfId="104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3">
      <pivotArea dataOnly="0" labelOnly="1" fieldPosition="0">
        <references count="1">
          <reference field="3" count="24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</reference>
        </references>
      </pivotArea>
    </format>
    <format dxfId="102">
      <pivotArea dataOnly="0" labelOnly="1" grandRow="1" outline="0" fieldPosition="0"/>
    </format>
    <format dxfId="101">
      <pivotArea dataOnly="0" labelOnly="1" fieldPosition="0">
        <references count="1">
          <reference field="12" count="0"/>
        </references>
      </pivotArea>
    </format>
    <format dxfId="100">
      <pivotArea dataOnly="0" labelOnly="1" grandCol="1" outline="0" fieldPosition="0"/>
    </format>
    <format dxfId="99">
      <pivotArea type="all" dataOnly="0" outline="0" fieldPosition="0"/>
    </format>
    <format dxfId="98">
      <pivotArea field="3" type="button" dataOnly="0" labelOnly="1" outline="0" axis="axisRow" fieldPosition="0"/>
    </format>
    <format dxfId="97">
      <pivotArea dataOnly="0" labelOnly="1" fieldPosition="0">
        <references count="1">
          <reference field="12" count="0"/>
        </references>
      </pivotArea>
    </format>
    <format dxfId="96">
      <pivotArea dataOnly="0" labelOnly="1" grandCol="1" outline="0" fieldPosition="0"/>
    </format>
    <format dxfId="95">
      <pivotArea field="3" type="button" dataOnly="0" labelOnly="1" outline="0" axis="axisRow" fieldPosition="0"/>
    </format>
    <format dxfId="94">
      <pivotArea dataOnly="0" labelOnly="1" fieldPosition="0">
        <references count="1">
          <reference field="12" count="0"/>
        </references>
      </pivotArea>
    </format>
    <format dxfId="93">
      <pivotArea dataOnly="0" labelOnly="1" grandCol="1" outline="0" fieldPosition="0"/>
    </format>
    <format dxfId="92">
      <pivotArea field="3" type="button" dataOnly="0" labelOnly="1" outline="0" axis="axisRow" fieldPosition="0"/>
    </format>
    <format dxfId="91">
      <pivotArea dataOnly="0" labelOnly="1" fieldPosition="0">
        <references count="1">
          <reference field="12" count="0"/>
        </references>
      </pivotArea>
    </format>
    <format dxfId="90">
      <pivotArea dataOnly="0" labelOnly="1" grandCol="1" outline="0" fieldPosition="0"/>
    </format>
    <format dxfId="89">
      <pivotArea field="3" type="button" dataOnly="0" labelOnly="1" outline="0" axis="axisRow" fieldPosition="0"/>
    </format>
    <format dxfId="88">
      <pivotArea dataOnly="0" labelOnly="1" fieldPosition="0">
        <references count="1">
          <reference field="12" count="0"/>
        </references>
      </pivotArea>
    </format>
    <format dxfId="87">
      <pivotArea dataOnly="0" labelOnly="1" grandCol="1" outline="0" fieldPosition="0"/>
    </format>
    <format dxfId="86">
      <pivotArea field="3" type="button" dataOnly="0" labelOnly="1" outline="0" axis="axisRow" fieldPosition="0"/>
    </format>
    <format dxfId="85">
      <pivotArea dataOnly="0" labelOnly="1" fieldPosition="0">
        <references count="1">
          <reference field="12" count="0"/>
        </references>
      </pivotArea>
    </format>
    <format dxfId="84">
      <pivotArea dataOnly="0" labelOnly="1" grandCol="1" outline="0" fieldPosition="0"/>
    </format>
    <format dxfId="83">
      <pivotArea type="origin" dataOnly="0" labelOnly="1" outline="0" fieldPosition="0"/>
    </format>
    <format dxfId="82">
      <pivotArea type="origin" dataOnly="0" labelOnly="1" outline="0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8">
      <pivotArea dataOnly="0" labelOnly="1" fieldPosition="0">
        <references count="1">
          <reference field="3" count="24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</reference>
        </references>
      </pivotArea>
    </format>
    <format dxfId="77">
      <pivotArea dataOnly="0" labelOnly="1" grandRow="1" outline="0" fieldPosition="0"/>
    </format>
    <format dxfId="76">
      <pivotArea dataOnly="0" labelOnly="1" fieldPosition="0">
        <references count="1">
          <reference field="12" count="0"/>
        </references>
      </pivotArea>
    </format>
    <format dxfId="75">
      <pivotArea dataOnly="0" labelOnly="1" grandCol="1" outline="0" fieldPosition="0"/>
    </format>
    <format dxfId="74">
      <pivotArea collapsedLevelsAreSubtotals="1" fieldPosition="0">
        <references count="2">
          <reference field="3" count="0"/>
          <reference field="12" count="0" selected="0"/>
        </references>
      </pivotArea>
    </format>
    <format dxfId="73">
      <pivotArea field="12" type="button" dataOnly="0" labelOnly="1" outline="0" axis="axisCol" fieldPosition="0"/>
    </format>
    <format dxfId="72">
      <pivotArea field="12" type="button" dataOnly="0" labelOnly="1" outline="0" axis="axisCol" fieldPosition="0"/>
    </format>
    <format dxfId="71">
      <pivotArea type="origin" dataOnly="0" labelOnly="1" outline="0" fieldPosition="0"/>
    </format>
  </formats>
  <chartFormats count="24"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3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4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5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6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7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8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9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0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1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2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I60" totalsRowShown="0" headerRowDxfId="164" dataDxfId="162" headerRowBorderDxfId="163" tableBorderDxfId="161" totalsRowBorderDxfId="160">
  <autoFilter ref="A1:I60"/>
  <tableColumns count="9">
    <tableColumn id="1" name="order_date" dataDxfId="159"/>
    <tableColumn id="2" name="orders_placed " dataDxfId="158"/>
    <tableColumn id="3" name="orders_delivered" dataDxfId="157"/>
    <tableColumn id="4" name="orders_cancelled" dataDxfId="156"/>
    <tableColumn id="5" name="late_deliveries " dataDxfId="155"/>
    <tableColumn id="6" name="average_delivery_days" dataDxfId="154"/>
    <tableColumn id="7" name="Cancellation Flag" dataDxfId="153">
      <calculatedColumnFormula>IF(Table1[[#This Row],[orders_cancelled]]&gt;3,"ALERT","OK")</calculatedColumnFormula>
    </tableColumn>
    <tableColumn id="8" name="Late Delivery Flag" dataDxfId="152">
      <calculatedColumnFormula>IF(Table1[[#This Row],[late_deliveries ]]&gt;10,"ALERT","OK")</calculatedColumnFormula>
    </tableColumn>
    <tableColumn id="9" name="Delivery Time Flag" dataDxfId="151">
      <calculatedColumnFormula>IF(F2&gt;8,"ALERT","OK")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2:B9" totalsRowShown="0" headerRowDxfId="150">
  <autoFilter ref="A2:B9"/>
  <tableColumns count="2">
    <tableColumn id="1" name="Metrics"/>
    <tableColumn id="2" name="Value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id="2" name="tbl_Part2_KPI" displayName="tbl_Part2_KPI" ref="A1:M1284" totalsRowShown="0" headerRowDxfId="64" dataDxfId="148" headerRowBorderDxfId="149" tableBorderDxfId="147" totalsRowBorderDxfId="146">
  <autoFilter ref="A1:M1284"/>
  <tableColumns count="13">
    <tableColumn id="1" name="order_year" dataDxfId="145"/>
    <tableColumn id="2" name="order_month" dataDxfId="144"/>
    <tableColumn id="3" name="month_name" dataDxfId="61"/>
    <tableColumn id="4" name="product-catogery_name" dataDxfId="62"/>
    <tableColumn id="5" name="total_revenue" dataDxfId="63"/>
    <tableColumn id="6" name="total_orders" dataDxfId="143"/>
    <tableColumn id="7" name="AOV" dataDxfId="142"/>
    <tableColumn id="8" name="avg_review_score" dataDxfId="141"/>
    <tableColumn id="9" name="cancelled_orders" dataDxfId="140"/>
    <tableColumn id="10" name="concellation_rate" dataDxfId="139"/>
    <tableColumn id="11" name="revenue_band" dataDxfId="138"/>
    <tableColumn id="12" name="Year_Month" dataDxfId="137">
      <calculatedColumnFormula>TEXT(DATE(A2,B2,1),"mmm-yyyy")</calculatedColumnFormula>
    </tableColumn>
    <tableColumn id="13" name="Year_Month_Date" dataDxfId="136">
      <calculatedColumnFormula>DATE(A2,B2,1)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2:B11" totalsRowShown="0" headerRowDxfId="70" headerRowBorderDxfId="68" tableBorderDxfId="69" totalsRowBorderDxfId="67">
  <autoFilter ref="A2:B11"/>
  <tableColumns count="2">
    <tableColumn id="1" name="Metrics" dataDxfId="66"/>
    <tableColumn id="2" name="Value" dataDxfId="65"/>
  </tableColumns>
  <tableStyleInfo name="TableStyleMedium26" showFirstColumn="0" showLastColumn="0" showRowStripes="1" showColumnStripes="0"/>
</table>
</file>

<file path=xl/tables/table5.xml><?xml version="1.0" encoding="utf-8"?>
<table xmlns="http://schemas.openxmlformats.org/spreadsheetml/2006/main" id="6" name="Table6" displayName="Table6" ref="A1:A19" totalsRowShown="0" headerRowDxfId="60">
  <autoFilter ref="A1:A19"/>
  <tableColumns count="1">
    <tableColumn id="1" name="KEY FINDINGS — CATEGORY KPI SCORECAR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zoomScale="70" zoomScaleNormal="70" workbookViewId="0">
      <selection activeCell="E11" sqref="E11"/>
    </sheetView>
  </sheetViews>
  <sheetFormatPr defaultRowHeight="15" x14ac:dyDescent="0.25"/>
  <cols>
    <col min="1" max="1" width="19.140625" customWidth="1"/>
    <col min="2" max="2" width="21.7109375" customWidth="1"/>
    <col min="3" max="3" width="18.42578125" customWidth="1"/>
    <col min="4" max="4" width="18.28515625" customWidth="1"/>
    <col min="5" max="5" width="16.85546875" customWidth="1"/>
    <col min="6" max="6" width="23.42578125" customWidth="1"/>
    <col min="7" max="7" width="18.42578125" style="1" customWidth="1"/>
    <col min="8" max="8" width="19" style="1" bestFit="1" customWidth="1"/>
    <col min="9" max="9" width="20.5703125" style="1" customWidth="1"/>
    <col min="10" max="10" width="27.42578125" customWidth="1"/>
  </cols>
  <sheetData>
    <row r="1" spans="1:10" s="28" customFormat="1" ht="21" x14ac:dyDescent="0.25">
      <c r="A1" s="24" t="s">
        <v>1</v>
      </c>
      <c r="B1" s="25" t="s">
        <v>2</v>
      </c>
      <c r="C1" s="25" t="s">
        <v>3</v>
      </c>
      <c r="D1" s="25" t="s">
        <v>4</v>
      </c>
      <c r="E1" s="25" t="s">
        <v>5</v>
      </c>
      <c r="F1" s="26" t="s">
        <v>6</v>
      </c>
      <c r="G1" s="25" t="s">
        <v>17</v>
      </c>
      <c r="H1" s="25" t="s">
        <v>18</v>
      </c>
      <c r="I1" s="25" t="s">
        <v>19</v>
      </c>
      <c r="J1" s="27"/>
    </row>
    <row r="2" spans="1:10" ht="21" x14ac:dyDescent="0.35">
      <c r="A2" s="14">
        <v>43300</v>
      </c>
      <c r="B2" s="9">
        <v>89</v>
      </c>
      <c r="C2" s="9">
        <v>88</v>
      </c>
      <c r="D2" s="9">
        <v>0</v>
      </c>
      <c r="E2" s="9">
        <v>1</v>
      </c>
      <c r="F2" s="10">
        <v>9.5795454545454604</v>
      </c>
      <c r="G2" s="15" t="str">
        <f>IF(Table1[[#This Row],[orders_cancelled]]&gt;3,"ALERT","OK")</f>
        <v>OK</v>
      </c>
      <c r="H2" s="15" t="str">
        <f>IF(Table1[[#This Row],[late_deliveries ]]&gt;10,"ALERT","OK")</f>
        <v>OK</v>
      </c>
      <c r="I2" s="15" t="str">
        <f t="shared" ref="I2:I33" si="0">IF(F2&gt;8,"ALERT","OK")</f>
        <v>ALERT</v>
      </c>
      <c r="J2" s="7"/>
    </row>
    <row r="3" spans="1:10" ht="21" x14ac:dyDescent="0.35">
      <c r="A3" s="14">
        <v>43301</v>
      </c>
      <c r="B3" s="9">
        <v>250</v>
      </c>
      <c r="C3" s="9">
        <v>247</v>
      </c>
      <c r="D3" s="9">
        <v>2</v>
      </c>
      <c r="E3" s="16">
        <v>10</v>
      </c>
      <c r="F3" s="10">
        <v>9.2469635627530398</v>
      </c>
      <c r="G3" s="17" t="str">
        <f>IF(Table1[[#This Row],[orders_cancelled]]&gt;3,"ALERT","OK")</f>
        <v>OK</v>
      </c>
      <c r="H3" s="17" t="str">
        <f>IF(Table1[[#This Row],[late_deliveries ]]&gt;10,"ALERT","OK")</f>
        <v>OK</v>
      </c>
      <c r="I3" s="17" t="str">
        <f t="shared" si="0"/>
        <v>ALERT</v>
      </c>
    </row>
    <row r="4" spans="1:10" ht="21" x14ac:dyDescent="0.35">
      <c r="A4" s="14">
        <v>43302</v>
      </c>
      <c r="B4" s="9">
        <v>187</v>
      </c>
      <c r="C4" s="9">
        <v>184</v>
      </c>
      <c r="D4" s="9">
        <v>2</v>
      </c>
      <c r="E4" s="9">
        <v>5</v>
      </c>
      <c r="F4" s="10">
        <v>8.9456521739130395</v>
      </c>
      <c r="G4" s="17" t="str">
        <f>IF(Table1[[#This Row],[orders_cancelled]]&gt;3,"ALERT","OK")</f>
        <v>OK</v>
      </c>
      <c r="H4" s="17" t="str">
        <f>IF(Table1[[#This Row],[late_deliveries ]]&gt;10,"ALERT","OK")</f>
        <v>OK</v>
      </c>
      <c r="I4" s="17" t="str">
        <f t="shared" si="0"/>
        <v>ALERT</v>
      </c>
    </row>
    <row r="5" spans="1:10" ht="21" x14ac:dyDescent="0.35">
      <c r="A5" s="14">
        <v>43303</v>
      </c>
      <c r="B5" s="9">
        <v>215</v>
      </c>
      <c r="C5" s="9">
        <v>213</v>
      </c>
      <c r="D5" s="9">
        <v>1</v>
      </c>
      <c r="E5" s="9">
        <v>6</v>
      </c>
      <c r="F5" s="10">
        <v>7.8544600938967104</v>
      </c>
      <c r="G5" s="17" t="str">
        <f>IF(Table1[[#This Row],[orders_cancelled]]&gt;3,"ALERT","OK")</f>
        <v>OK</v>
      </c>
      <c r="H5" s="17" t="str">
        <f>IF(Table1[[#This Row],[late_deliveries ]]&gt;10,"ALERT","OK")</f>
        <v>OK</v>
      </c>
      <c r="I5" s="17" t="str">
        <f t="shared" si="0"/>
        <v>OK</v>
      </c>
    </row>
    <row r="6" spans="1:10" ht="21" x14ac:dyDescent="0.35">
      <c r="A6" s="14">
        <v>43304</v>
      </c>
      <c r="B6" s="9">
        <v>307</v>
      </c>
      <c r="C6" s="9">
        <v>298</v>
      </c>
      <c r="D6" s="9">
        <v>1</v>
      </c>
      <c r="E6" s="9">
        <v>18</v>
      </c>
      <c r="F6" s="10">
        <v>8.0671140939597308</v>
      </c>
      <c r="G6" s="17" t="str">
        <f>IF(Table1[[#This Row],[orders_cancelled]]&gt;3,"ALERT","OK")</f>
        <v>OK</v>
      </c>
      <c r="H6" s="17" t="str">
        <f>IF(Table1[[#This Row],[late_deliveries ]]&gt;10,"ALERT","OK")</f>
        <v>ALERT</v>
      </c>
      <c r="I6" s="17" t="str">
        <f t="shared" si="0"/>
        <v>ALERT</v>
      </c>
    </row>
    <row r="7" spans="1:10" ht="21" x14ac:dyDescent="0.35">
      <c r="A7" s="14">
        <v>43305</v>
      </c>
      <c r="B7" s="9">
        <v>271</v>
      </c>
      <c r="C7" s="9">
        <v>264</v>
      </c>
      <c r="D7" s="9">
        <v>0</v>
      </c>
      <c r="E7" s="9">
        <v>9</v>
      </c>
      <c r="F7" s="10">
        <v>7.8674242424242404</v>
      </c>
      <c r="G7" s="17" t="str">
        <f>IF(Table1[[#This Row],[orders_cancelled]]&gt;3,"ALERT","OK")</f>
        <v>OK</v>
      </c>
      <c r="H7" s="17" t="str">
        <f>IF(Table1[[#This Row],[late_deliveries ]]&gt;10,"ALERT","OK")</f>
        <v>OK</v>
      </c>
      <c r="I7" s="17" t="str">
        <f t="shared" si="0"/>
        <v>OK</v>
      </c>
    </row>
    <row r="8" spans="1:10" ht="21" x14ac:dyDescent="0.35">
      <c r="A8" s="14">
        <v>43306</v>
      </c>
      <c r="B8" s="9">
        <v>268</v>
      </c>
      <c r="C8" s="9">
        <v>264</v>
      </c>
      <c r="D8" s="9">
        <v>1</v>
      </c>
      <c r="E8" s="9">
        <v>8</v>
      </c>
      <c r="F8" s="10">
        <v>8.4469696969697008</v>
      </c>
      <c r="G8" s="17" t="str">
        <f>IF(Table1[[#This Row],[orders_cancelled]]&gt;3,"ALERT","OK")</f>
        <v>OK</v>
      </c>
      <c r="H8" s="17" t="str">
        <f>IF(Table1[[#This Row],[late_deliveries ]]&gt;10,"ALERT","OK")</f>
        <v>OK</v>
      </c>
      <c r="I8" s="17" t="str">
        <f t="shared" si="0"/>
        <v>ALERT</v>
      </c>
    </row>
    <row r="9" spans="1:10" ht="21" x14ac:dyDescent="0.35">
      <c r="A9" s="14">
        <v>43307</v>
      </c>
      <c r="B9" s="9">
        <v>247</v>
      </c>
      <c r="C9" s="9">
        <v>244</v>
      </c>
      <c r="D9" s="9">
        <v>2</v>
      </c>
      <c r="E9" s="9">
        <v>7</v>
      </c>
      <c r="F9" s="10">
        <v>8.1188524590163897</v>
      </c>
      <c r="G9" s="17" t="str">
        <f>IF(Table1[[#This Row],[orders_cancelled]]&gt;3,"ALERT","OK")</f>
        <v>OK</v>
      </c>
      <c r="H9" s="17" t="str">
        <f>IF(Table1[[#This Row],[late_deliveries ]]&gt;10,"ALERT","OK")</f>
        <v>OK</v>
      </c>
      <c r="I9" s="17" t="str">
        <f t="shared" si="0"/>
        <v>ALERT</v>
      </c>
    </row>
    <row r="10" spans="1:10" ht="21" x14ac:dyDescent="0.35">
      <c r="A10" s="14">
        <v>43308</v>
      </c>
      <c r="B10" s="9">
        <v>189</v>
      </c>
      <c r="C10" s="9">
        <v>186</v>
      </c>
      <c r="D10" s="9">
        <v>0</v>
      </c>
      <c r="E10" s="9">
        <v>5</v>
      </c>
      <c r="F10" s="10">
        <v>9.1344086021505397</v>
      </c>
      <c r="G10" s="17" t="str">
        <f>IF(Table1[[#This Row],[orders_cancelled]]&gt;3,"ALERT","OK")</f>
        <v>OK</v>
      </c>
      <c r="H10" s="17" t="str">
        <f>IF(Table1[[#This Row],[late_deliveries ]]&gt;10,"ALERT","OK")</f>
        <v>OK</v>
      </c>
      <c r="I10" s="17" t="str">
        <f t="shared" si="0"/>
        <v>ALERT</v>
      </c>
    </row>
    <row r="11" spans="1:10" ht="21" x14ac:dyDescent="0.35">
      <c r="A11" s="14">
        <v>43309</v>
      </c>
      <c r="B11" s="9">
        <v>176</v>
      </c>
      <c r="C11" s="9">
        <v>172</v>
      </c>
      <c r="D11" s="9">
        <v>0</v>
      </c>
      <c r="E11" s="9">
        <v>3</v>
      </c>
      <c r="F11" s="10">
        <v>8.7093023255813993</v>
      </c>
      <c r="G11" s="17" t="str">
        <f>IF(Table1[[#This Row],[orders_cancelled]]&gt;3,"ALERT","OK")</f>
        <v>OK</v>
      </c>
      <c r="H11" s="17" t="str">
        <f>IF(Table1[[#This Row],[late_deliveries ]]&gt;10,"ALERT","OK")</f>
        <v>OK</v>
      </c>
      <c r="I11" s="17" t="str">
        <f t="shared" si="0"/>
        <v>ALERT</v>
      </c>
    </row>
    <row r="12" spans="1:10" ht="21" x14ac:dyDescent="0.35">
      <c r="A12" s="14">
        <v>43310</v>
      </c>
      <c r="B12" s="9">
        <v>188</v>
      </c>
      <c r="C12" s="9">
        <v>182</v>
      </c>
      <c r="D12" s="9">
        <v>4</v>
      </c>
      <c r="E12" s="9">
        <v>13</v>
      </c>
      <c r="F12" s="10">
        <v>7.5439560439560402</v>
      </c>
      <c r="G12" s="17" t="str">
        <f>IF(Table1[[#This Row],[orders_cancelled]]&gt;3,"ALERT","OK")</f>
        <v>ALERT</v>
      </c>
      <c r="H12" s="17" t="str">
        <f>IF(Table1[[#This Row],[late_deliveries ]]&gt;10,"ALERT","OK")</f>
        <v>ALERT</v>
      </c>
      <c r="I12" s="17" t="str">
        <f t="shared" si="0"/>
        <v>OK</v>
      </c>
    </row>
    <row r="13" spans="1:10" ht="21" x14ac:dyDescent="0.35">
      <c r="A13" s="14">
        <v>43311</v>
      </c>
      <c r="B13" s="9">
        <v>288</v>
      </c>
      <c r="C13" s="9">
        <v>278</v>
      </c>
      <c r="D13" s="9">
        <v>4</v>
      </c>
      <c r="E13" s="9">
        <v>34</v>
      </c>
      <c r="F13" s="10">
        <v>7.9712230215827304</v>
      </c>
      <c r="G13" s="17" t="str">
        <f>IF(Table1[[#This Row],[orders_cancelled]]&gt;3,"ALERT","OK")</f>
        <v>ALERT</v>
      </c>
      <c r="H13" s="17" t="str">
        <f>IF(Table1[[#This Row],[late_deliveries ]]&gt;10,"ALERT","OK")</f>
        <v>ALERT</v>
      </c>
      <c r="I13" s="17" t="str">
        <f t="shared" si="0"/>
        <v>OK</v>
      </c>
    </row>
    <row r="14" spans="1:10" ht="21" x14ac:dyDescent="0.35">
      <c r="A14" s="14">
        <v>43312</v>
      </c>
      <c r="B14" s="9">
        <v>322</v>
      </c>
      <c r="C14" s="9">
        <v>313</v>
      </c>
      <c r="D14" s="9">
        <v>4</v>
      </c>
      <c r="E14" s="9">
        <v>36</v>
      </c>
      <c r="F14" s="10">
        <v>7.8083067092651799</v>
      </c>
      <c r="G14" s="17" t="str">
        <f>IF(Table1[[#This Row],[orders_cancelled]]&gt;3,"ALERT","OK")</f>
        <v>ALERT</v>
      </c>
      <c r="H14" s="17" t="str">
        <f>IF(Table1[[#This Row],[late_deliveries ]]&gt;10,"ALERT","OK")</f>
        <v>ALERT</v>
      </c>
      <c r="I14" s="17" t="str">
        <f t="shared" si="0"/>
        <v>OK</v>
      </c>
    </row>
    <row r="15" spans="1:10" ht="21" x14ac:dyDescent="0.35">
      <c r="A15" s="14">
        <v>43313</v>
      </c>
      <c r="B15" s="9">
        <v>311</v>
      </c>
      <c r="C15" s="9">
        <v>306</v>
      </c>
      <c r="D15" s="9">
        <v>2</v>
      </c>
      <c r="E15" s="9">
        <v>40</v>
      </c>
      <c r="F15" s="10">
        <v>8.9084967320261406</v>
      </c>
      <c r="G15" s="17" t="str">
        <f>IF(Table1[[#This Row],[orders_cancelled]]&gt;3,"ALERT","OK")</f>
        <v>OK</v>
      </c>
      <c r="H15" s="17" t="str">
        <f>IF(Table1[[#This Row],[late_deliveries ]]&gt;10,"ALERT","OK")</f>
        <v>ALERT</v>
      </c>
      <c r="I15" s="17" t="str">
        <f t="shared" si="0"/>
        <v>ALERT</v>
      </c>
    </row>
    <row r="16" spans="1:10" ht="21" x14ac:dyDescent="0.35">
      <c r="A16" s="14">
        <v>43314</v>
      </c>
      <c r="B16" s="9">
        <v>302</v>
      </c>
      <c r="C16" s="9">
        <v>292</v>
      </c>
      <c r="D16" s="9">
        <v>2</v>
      </c>
      <c r="E16" s="9">
        <v>45</v>
      </c>
      <c r="F16" s="10">
        <v>9.1541095890411004</v>
      </c>
      <c r="G16" s="17" t="str">
        <f>IF(Table1[[#This Row],[orders_cancelled]]&gt;3,"ALERT","OK")</f>
        <v>OK</v>
      </c>
      <c r="H16" s="17" t="str">
        <f>IF(Table1[[#This Row],[late_deliveries ]]&gt;10,"ALERT","OK")</f>
        <v>ALERT</v>
      </c>
      <c r="I16" s="17" t="str">
        <f t="shared" si="0"/>
        <v>ALERT</v>
      </c>
    </row>
    <row r="17" spans="1:9" ht="21" x14ac:dyDescent="0.35">
      <c r="A17" s="14">
        <v>43315</v>
      </c>
      <c r="B17" s="9">
        <v>314</v>
      </c>
      <c r="C17" s="9">
        <v>308</v>
      </c>
      <c r="D17" s="9">
        <v>2</v>
      </c>
      <c r="E17" s="9">
        <v>47</v>
      </c>
      <c r="F17" s="10">
        <v>9.5032467532467493</v>
      </c>
      <c r="G17" s="17" t="str">
        <f>IF(Table1[[#This Row],[orders_cancelled]]&gt;3,"ALERT","OK")</f>
        <v>OK</v>
      </c>
      <c r="H17" s="17" t="str">
        <f>IF(Table1[[#This Row],[late_deliveries ]]&gt;10,"ALERT","OK")</f>
        <v>ALERT</v>
      </c>
      <c r="I17" s="17" t="str">
        <f t="shared" si="0"/>
        <v>ALERT</v>
      </c>
    </row>
    <row r="18" spans="1:9" ht="21" x14ac:dyDescent="0.35">
      <c r="A18" s="14">
        <v>43316</v>
      </c>
      <c r="B18" s="9">
        <v>245</v>
      </c>
      <c r="C18" s="9">
        <v>236</v>
      </c>
      <c r="D18" s="9">
        <v>3</v>
      </c>
      <c r="E18" s="9">
        <v>26</v>
      </c>
      <c r="F18" s="10">
        <v>8.9576271186440692</v>
      </c>
      <c r="G18" s="17" t="str">
        <f>IF(Table1[[#This Row],[orders_cancelled]]&gt;3,"ALERT","OK")</f>
        <v>OK</v>
      </c>
      <c r="H18" s="17" t="str">
        <f>IF(Table1[[#This Row],[late_deliveries ]]&gt;10,"ALERT","OK")</f>
        <v>ALERT</v>
      </c>
      <c r="I18" s="17" t="str">
        <f t="shared" si="0"/>
        <v>ALERT</v>
      </c>
    </row>
    <row r="19" spans="1:9" ht="21" x14ac:dyDescent="0.35">
      <c r="A19" s="14">
        <v>43317</v>
      </c>
      <c r="B19" s="9">
        <v>276</v>
      </c>
      <c r="C19" s="9">
        <v>269</v>
      </c>
      <c r="D19" s="9">
        <v>2</v>
      </c>
      <c r="E19" s="9">
        <v>48</v>
      </c>
      <c r="F19" s="10">
        <v>7.9405204460966496</v>
      </c>
      <c r="G19" s="17" t="str">
        <f>IF(Table1[[#This Row],[orders_cancelled]]&gt;3,"ALERT","OK")</f>
        <v>OK</v>
      </c>
      <c r="H19" s="17" t="str">
        <f>IF(Table1[[#This Row],[late_deliveries ]]&gt;10,"ALERT","OK")</f>
        <v>ALERT</v>
      </c>
      <c r="I19" s="17" t="str">
        <f t="shared" si="0"/>
        <v>OK</v>
      </c>
    </row>
    <row r="20" spans="1:9" ht="21" x14ac:dyDescent="0.35">
      <c r="A20" s="14">
        <v>43318</v>
      </c>
      <c r="B20" s="9">
        <v>372</v>
      </c>
      <c r="C20" s="9">
        <v>363</v>
      </c>
      <c r="D20" s="9">
        <v>4</v>
      </c>
      <c r="E20" s="9">
        <v>72</v>
      </c>
      <c r="F20" s="10">
        <v>8.4380165289256208</v>
      </c>
      <c r="G20" s="17" t="str">
        <f>IF(Table1[[#This Row],[orders_cancelled]]&gt;3,"ALERT","OK")</f>
        <v>ALERT</v>
      </c>
      <c r="H20" s="17" t="str">
        <f>IF(Table1[[#This Row],[late_deliveries ]]&gt;10,"ALERT","OK")</f>
        <v>ALERT</v>
      </c>
      <c r="I20" s="17" t="str">
        <f t="shared" si="0"/>
        <v>ALERT</v>
      </c>
    </row>
    <row r="21" spans="1:9" ht="21" x14ac:dyDescent="0.35">
      <c r="A21" s="14">
        <v>43319</v>
      </c>
      <c r="B21" s="9">
        <v>370</v>
      </c>
      <c r="C21" s="9">
        <v>353</v>
      </c>
      <c r="D21" s="9">
        <v>9</v>
      </c>
      <c r="E21" s="9">
        <v>63</v>
      </c>
      <c r="F21" s="10">
        <v>8.2606232294617605</v>
      </c>
      <c r="G21" s="17" t="str">
        <f>IF(Table1[[#This Row],[orders_cancelled]]&gt;3,"ALERT","OK")</f>
        <v>ALERT</v>
      </c>
      <c r="H21" s="17" t="str">
        <f>IF(Table1[[#This Row],[late_deliveries ]]&gt;10,"ALERT","OK")</f>
        <v>ALERT</v>
      </c>
      <c r="I21" s="17" t="str">
        <f t="shared" si="0"/>
        <v>ALERT</v>
      </c>
    </row>
    <row r="22" spans="1:9" ht="21" x14ac:dyDescent="0.35">
      <c r="A22" s="14">
        <v>43320</v>
      </c>
      <c r="B22" s="9">
        <v>316</v>
      </c>
      <c r="C22" s="9">
        <v>310</v>
      </c>
      <c r="D22" s="9">
        <v>2</v>
      </c>
      <c r="E22" s="9">
        <v>35</v>
      </c>
      <c r="F22" s="10">
        <v>8.1741935483871</v>
      </c>
      <c r="G22" s="17" t="str">
        <f>IF(Table1[[#This Row],[orders_cancelled]]&gt;3,"ALERT","OK")</f>
        <v>OK</v>
      </c>
      <c r="H22" s="17" t="str">
        <f>IF(Table1[[#This Row],[late_deliveries ]]&gt;10,"ALERT","OK")</f>
        <v>ALERT</v>
      </c>
      <c r="I22" s="17" t="str">
        <f t="shared" si="0"/>
        <v>ALERT</v>
      </c>
    </row>
    <row r="23" spans="1:9" ht="21" x14ac:dyDescent="0.35">
      <c r="A23" s="14">
        <v>43321</v>
      </c>
      <c r="B23" s="9">
        <v>289</v>
      </c>
      <c r="C23" s="9">
        <v>280</v>
      </c>
      <c r="D23" s="9">
        <v>6</v>
      </c>
      <c r="E23" s="9">
        <v>30</v>
      </c>
      <c r="F23" s="10">
        <v>8.4464285714285694</v>
      </c>
      <c r="G23" s="17" t="str">
        <f>IF(Table1[[#This Row],[orders_cancelled]]&gt;3,"ALERT","OK")</f>
        <v>ALERT</v>
      </c>
      <c r="H23" s="17" t="str">
        <f>IF(Table1[[#This Row],[late_deliveries ]]&gt;10,"ALERT","OK")</f>
        <v>ALERT</v>
      </c>
      <c r="I23" s="17" t="str">
        <f t="shared" si="0"/>
        <v>ALERT</v>
      </c>
    </row>
    <row r="24" spans="1:9" ht="21" x14ac:dyDescent="0.35">
      <c r="A24" s="14">
        <v>43322</v>
      </c>
      <c r="B24" s="9">
        <v>256</v>
      </c>
      <c r="C24" s="9">
        <v>249</v>
      </c>
      <c r="D24" s="9">
        <v>3</v>
      </c>
      <c r="E24" s="9">
        <v>26</v>
      </c>
      <c r="F24" s="10">
        <v>9.3212851405622494</v>
      </c>
      <c r="G24" s="17" t="str">
        <f>IF(Table1[[#This Row],[orders_cancelled]]&gt;3,"ALERT","OK")</f>
        <v>OK</v>
      </c>
      <c r="H24" s="17" t="str">
        <f>IF(Table1[[#This Row],[late_deliveries ]]&gt;10,"ALERT","OK")</f>
        <v>ALERT</v>
      </c>
      <c r="I24" s="17" t="str">
        <f t="shared" si="0"/>
        <v>ALERT</v>
      </c>
    </row>
    <row r="25" spans="1:9" ht="21" x14ac:dyDescent="0.35">
      <c r="A25" s="14">
        <v>43323</v>
      </c>
      <c r="B25" s="9">
        <v>188</v>
      </c>
      <c r="C25" s="9">
        <v>185</v>
      </c>
      <c r="D25" s="9">
        <v>0</v>
      </c>
      <c r="E25" s="9">
        <v>8</v>
      </c>
      <c r="F25" s="10">
        <v>8.5459459459459506</v>
      </c>
      <c r="G25" s="17" t="str">
        <f>IF(Table1[[#This Row],[orders_cancelled]]&gt;3,"ALERT","OK")</f>
        <v>OK</v>
      </c>
      <c r="H25" s="17" t="str">
        <f>IF(Table1[[#This Row],[late_deliveries ]]&gt;10,"ALERT","OK")</f>
        <v>OK</v>
      </c>
      <c r="I25" s="17" t="str">
        <f t="shared" si="0"/>
        <v>ALERT</v>
      </c>
    </row>
    <row r="26" spans="1:9" ht="21" x14ac:dyDescent="0.35">
      <c r="A26" s="14">
        <v>43324</v>
      </c>
      <c r="B26" s="9">
        <v>197</v>
      </c>
      <c r="C26" s="9">
        <v>191</v>
      </c>
      <c r="D26" s="9">
        <v>0</v>
      </c>
      <c r="E26" s="9">
        <v>9</v>
      </c>
      <c r="F26" s="10">
        <v>7.7539267015706796</v>
      </c>
      <c r="G26" s="17" t="str">
        <f>IF(Table1[[#This Row],[orders_cancelled]]&gt;3,"ALERT","OK")</f>
        <v>OK</v>
      </c>
      <c r="H26" s="17" t="str">
        <f>IF(Table1[[#This Row],[late_deliveries ]]&gt;10,"ALERT","OK")</f>
        <v>OK</v>
      </c>
      <c r="I26" s="17" t="str">
        <f t="shared" si="0"/>
        <v>OK</v>
      </c>
    </row>
    <row r="27" spans="1:9" ht="21" x14ac:dyDescent="0.35">
      <c r="A27" s="14">
        <v>43325</v>
      </c>
      <c r="B27" s="9">
        <v>292</v>
      </c>
      <c r="C27" s="9">
        <v>284</v>
      </c>
      <c r="D27" s="9">
        <v>5</v>
      </c>
      <c r="E27" s="9">
        <v>19</v>
      </c>
      <c r="F27" s="10">
        <v>7.4753521126760596</v>
      </c>
      <c r="G27" s="17" t="str">
        <f>IF(Table1[[#This Row],[orders_cancelled]]&gt;3,"ALERT","OK")</f>
        <v>ALERT</v>
      </c>
      <c r="H27" s="17" t="str">
        <f>IF(Table1[[#This Row],[late_deliveries ]]&gt;10,"ALERT","OK")</f>
        <v>ALERT</v>
      </c>
      <c r="I27" s="17" t="str">
        <f t="shared" si="0"/>
        <v>OK</v>
      </c>
    </row>
    <row r="28" spans="1:9" ht="21" x14ac:dyDescent="0.35">
      <c r="A28" s="14">
        <v>43326</v>
      </c>
      <c r="B28" s="9">
        <v>316</v>
      </c>
      <c r="C28" s="9">
        <v>311</v>
      </c>
      <c r="D28" s="9">
        <v>4</v>
      </c>
      <c r="E28" s="9">
        <v>35</v>
      </c>
      <c r="F28" s="10">
        <v>7.7459807073954998</v>
      </c>
      <c r="G28" s="17" t="str">
        <f>IF(Table1[[#This Row],[orders_cancelled]]&gt;3,"ALERT","OK")</f>
        <v>ALERT</v>
      </c>
      <c r="H28" s="17" t="str">
        <f>IF(Table1[[#This Row],[late_deliveries ]]&gt;10,"ALERT","OK")</f>
        <v>ALERT</v>
      </c>
      <c r="I28" s="17" t="str">
        <f t="shared" si="0"/>
        <v>OK</v>
      </c>
    </row>
    <row r="29" spans="1:9" ht="21" x14ac:dyDescent="0.35">
      <c r="A29" s="14">
        <v>43327</v>
      </c>
      <c r="B29" s="9">
        <v>288</v>
      </c>
      <c r="C29" s="9">
        <v>282</v>
      </c>
      <c r="D29" s="9">
        <v>5</v>
      </c>
      <c r="E29" s="9">
        <v>24</v>
      </c>
      <c r="F29" s="10">
        <v>7.6524822695035501</v>
      </c>
      <c r="G29" s="17" t="str">
        <f>IF(Table1[[#This Row],[orders_cancelled]]&gt;3,"ALERT","OK")</f>
        <v>ALERT</v>
      </c>
      <c r="H29" s="17" t="str">
        <f>IF(Table1[[#This Row],[late_deliveries ]]&gt;10,"ALERT","OK")</f>
        <v>ALERT</v>
      </c>
      <c r="I29" s="17" t="str">
        <f t="shared" si="0"/>
        <v>OK</v>
      </c>
    </row>
    <row r="30" spans="1:9" ht="21" x14ac:dyDescent="0.35">
      <c r="A30" s="14">
        <v>43328</v>
      </c>
      <c r="B30" s="9">
        <v>320</v>
      </c>
      <c r="C30" s="9">
        <v>316</v>
      </c>
      <c r="D30" s="9">
        <v>4</v>
      </c>
      <c r="E30" s="9">
        <v>28</v>
      </c>
      <c r="F30" s="10">
        <v>7.66455696202532</v>
      </c>
      <c r="G30" s="17" t="str">
        <f>IF(Table1[[#This Row],[orders_cancelled]]&gt;3,"ALERT","OK")</f>
        <v>ALERT</v>
      </c>
      <c r="H30" s="17" t="str">
        <f>IF(Table1[[#This Row],[late_deliveries ]]&gt;10,"ALERT","OK")</f>
        <v>ALERT</v>
      </c>
      <c r="I30" s="17" t="str">
        <f t="shared" si="0"/>
        <v>OK</v>
      </c>
    </row>
    <row r="31" spans="1:9" ht="21" x14ac:dyDescent="0.35">
      <c r="A31" s="14">
        <v>43329</v>
      </c>
      <c r="B31" s="9">
        <v>257</v>
      </c>
      <c r="C31" s="9">
        <v>249</v>
      </c>
      <c r="D31" s="9">
        <v>3</v>
      </c>
      <c r="E31" s="9">
        <v>11</v>
      </c>
      <c r="F31" s="10">
        <v>7.8112449799196799</v>
      </c>
      <c r="G31" s="17" t="str">
        <f>IF(Table1[[#This Row],[orders_cancelled]]&gt;3,"ALERT","OK")</f>
        <v>OK</v>
      </c>
      <c r="H31" s="17" t="str">
        <f>IF(Table1[[#This Row],[late_deliveries ]]&gt;10,"ALERT","OK")</f>
        <v>ALERT</v>
      </c>
      <c r="I31" s="17" t="str">
        <f t="shared" si="0"/>
        <v>OK</v>
      </c>
    </row>
    <row r="32" spans="1:9" ht="21" x14ac:dyDescent="0.35">
      <c r="A32" s="14">
        <v>43330</v>
      </c>
      <c r="B32" s="9">
        <v>198</v>
      </c>
      <c r="C32" s="9">
        <v>193</v>
      </c>
      <c r="D32" s="9">
        <v>2</v>
      </c>
      <c r="E32" s="9">
        <v>5</v>
      </c>
      <c r="F32" s="10">
        <v>7.4870466321243496</v>
      </c>
      <c r="G32" s="17" t="str">
        <f>IF(Table1[[#This Row],[orders_cancelled]]&gt;3,"ALERT","OK")</f>
        <v>OK</v>
      </c>
      <c r="H32" s="17" t="str">
        <f>IF(Table1[[#This Row],[late_deliveries ]]&gt;10,"ALERT","OK")</f>
        <v>OK</v>
      </c>
      <c r="I32" s="17" t="str">
        <f t="shared" si="0"/>
        <v>OK</v>
      </c>
    </row>
    <row r="33" spans="1:9" ht="21" x14ac:dyDescent="0.35">
      <c r="A33" s="14">
        <v>43331</v>
      </c>
      <c r="B33" s="9">
        <v>204</v>
      </c>
      <c r="C33" s="9">
        <v>204</v>
      </c>
      <c r="D33" s="9">
        <v>0</v>
      </c>
      <c r="E33" s="9">
        <v>11</v>
      </c>
      <c r="F33" s="10">
        <v>6.7990196078431397</v>
      </c>
      <c r="G33" s="17" t="str">
        <f>IF(Table1[[#This Row],[orders_cancelled]]&gt;3,"ALERT","OK")</f>
        <v>OK</v>
      </c>
      <c r="H33" s="17" t="str">
        <f>IF(Table1[[#This Row],[late_deliveries ]]&gt;10,"ALERT","OK")</f>
        <v>ALERT</v>
      </c>
      <c r="I33" s="17" t="str">
        <f t="shared" si="0"/>
        <v>OK</v>
      </c>
    </row>
    <row r="34" spans="1:9" ht="21" x14ac:dyDescent="0.35">
      <c r="A34" s="14">
        <v>43332</v>
      </c>
      <c r="B34" s="9">
        <v>256</v>
      </c>
      <c r="C34" s="9">
        <v>251</v>
      </c>
      <c r="D34" s="9">
        <v>4</v>
      </c>
      <c r="E34" s="9">
        <v>25</v>
      </c>
      <c r="F34" s="10">
        <v>5.8685258964143401</v>
      </c>
      <c r="G34" s="17" t="str">
        <f>IF(Table1[[#This Row],[orders_cancelled]]&gt;3,"ALERT","OK")</f>
        <v>ALERT</v>
      </c>
      <c r="H34" s="17" t="str">
        <f>IF(Table1[[#This Row],[late_deliveries ]]&gt;10,"ALERT","OK")</f>
        <v>ALERT</v>
      </c>
      <c r="I34" s="17" t="str">
        <f t="shared" ref="I34:I60" si="1">IF(F34&gt;8,"ALERT","OK")</f>
        <v>OK</v>
      </c>
    </row>
    <row r="35" spans="1:9" ht="21" x14ac:dyDescent="0.35">
      <c r="A35" s="14">
        <v>43333</v>
      </c>
      <c r="B35" s="9">
        <v>243</v>
      </c>
      <c r="C35" s="9">
        <v>238</v>
      </c>
      <c r="D35" s="9">
        <v>3</v>
      </c>
      <c r="E35" s="9">
        <v>17</v>
      </c>
      <c r="F35" s="10">
        <v>5.5630252100840298</v>
      </c>
      <c r="G35" s="17" t="str">
        <f>IF(Table1[[#This Row],[orders_cancelled]]&gt;3,"ALERT","OK")</f>
        <v>OK</v>
      </c>
      <c r="H35" s="17" t="str">
        <f>IF(Table1[[#This Row],[late_deliveries ]]&gt;10,"ALERT","OK")</f>
        <v>ALERT</v>
      </c>
      <c r="I35" s="17" t="str">
        <f t="shared" si="1"/>
        <v>OK</v>
      </c>
    </row>
    <row r="36" spans="1:9" ht="21" x14ac:dyDescent="0.35">
      <c r="A36" s="14">
        <v>43334</v>
      </c>
      <c r="B36" s="9">
        <v>187</v>
      </c>
      <c r="C36" s="9">
        <v>185</v>
      </c>
      <c r="D36" s="9">
        <v>1</v>
      </c>
      <c r="E36" s="9">
        <v>11</v>
      </c>
      <c r="F36" s="10">
        <v>5.7243243243243196</v>
      </c>
      <c r="G36" s="17" t="str">
        <f>IF(Table1[[#This Row],[orders_cancelled]]&gt;3,"ALERT","OK")</f>
        <v>OK</v>
      </c>
      <c r="H36" s="17" t="str">
        <f>IF(Table1[[#This Row],[late_deliveries ]]&gt;10,"ALERT","OK")</f>
        <v>ALERT</v>
      </c>
      <c r="I36" s="17" t="str">
        <f t="shared" si="1"/>
        <v>OK</v>
      </c>
    </row>
    <row r="37" spans="1:9" ht="21" x14ac:dyDescent="0.35">
      <c r="A37" s="14">
        <v>43335</v>
      </c>
      <c r="B37" s="9">
        <v>144</v>
      </c>
      <c r="C37" s="9">
        <v>142</v>
      </c>
      <c r="D37" s="9">
        <v>2</v>
      </c>
      <c r="E37" s="9">
        <v>7</v>
      </c>
      <c r="F37" s="10">
        <v>5.5</v>
      </c>
      <c r="G37" s="17" t="str">
        <f>IF(Table1[[#This Row],[orders_cancelled]]&gt;3,"ALERT","OK")</f>
        <v>OK</v>
      </c>
      <c r="H37" s="17" t="str">
        <f>IF(Table1[[#This Row],[late_deliveries ]]&gt;10,"ALERT","OK")</f>
        <v>OK</v>
      </c>
      <c r="I37" s="17" t="str">
        <f t="shared" si="1"/>
        <v>OK</v>
      </c>
    </row>
    <row r="38" spans="1:9" ht="21" x14ac:dyDescent="0.35">
      <c r="A38" s="14">
        <v>43336</v>
      </c>
      <c r="B38" s="9">
        <v>99</v>
      </c>
      <c r="C38" s="9">
        <v>96</v>
      </c>
      <c r="D38" s="9">
        <v>2</v>
      </c>
      <c r="E38" s="9">
        <v>9</v>
      </c>
      <c r="F38" s="10">
        <v>5.1666666666666696</v>
      </c>
      <c r="G38" s="17" t="str">
        <f>IF(Table1[[#This Row],[orders_cancelled]]&gt;3,"ALERT","OK")</f>
        <v>OK</v>
      </c>
      <c r="H38" s="17" t="str">
        <f>IF(Table1[[#This Row],[late_deliveries ]]&gt;10,"ALERT","OK")</f>
        <v>OK</v>
      </c>
      <c r="I38" s="17" t="str">
        <f t="shared" si="1"/>
        <v>OK</v>
      </c>
    </row>
    <row r="39" spans="1:9" ht="21" x14ac:dyDescent="0.35">
      <c r="A39" s="14">
        <v>43337</v>
      </c>
      <c r="B39" s="9">
        <v>69</v>
      </c>
      <c r="C39" s="9">
        <v>69</v>
      </c>
      <c r="D39" s="9">
        <v>0</v>
      </c>
      <c r="E39" s="9">
        <v>1</v>
      </c>
      <c r="F39" s="10">
        <v>4.2173913043478297</v>
      </c>
      <c r="G39" s="17" t="str">
        <f>IF(Table1[[#This Row],[orders_cancelled]]&gt;3,"ALERT","OK")</f>
        <v>OK</v>
      </c>
      <c r="H39" s="17" t="str">
        <f>IF(Table1[[#This Row],[late_deliveries ]]&gt;10,"ALERT","OK")</f>
        <v>OK</v>
      </c>
      <c r="I39" s="17" t="str">
        <f t="shared" si="1"/>
        <v>OK</v>
      </c>
    </row>
    <row r="40" spans="1:9" ht="21" x14ac:dyDescent="0.35">
      <c r="A40" s="14">
        <v>43338</v>
      </c>
      <c r="B40" s="9">
        <v>73</v>
      </c>
      <c r="C40" s="9">
        <v>73</v>
      </c>
      <c r="D40" s="9">
        <v>0</v>
      </c>
      <c r="E40" s="9">
        <v>1</v>
      </c>
      <c r="F40" s="10">
        <v>3.31506849315068</v>
      </c>
      <c r="G40" s="17" t="str">
        <f>IF(Table1[[#This Row],[orders_cancelled]]&gt;3,"ALERT","OK")</f>
        <v>OK</v>
      </c>
      <c r="H40" s="17" t="str">
        <f>IF(Table1[[#This Row],[late_deliveries ]]&gt;10,"ALERT","OK")</f>
        <v>OK</v>
      </c>
      <c r="I40" s="17" t="str">
        <f t="shared" si="1"/>
        <v>OK</v>
      </c>
    </row>
    <row r="41" spans="1:9" ht="21" x14ac:dyDescent="0.35">
      <c r="A41" s="14">
        <v>43339</v>
      </c>
      <c r="B41" s="9">
        <v>67</v>
      </c>
      <c r="C41" s="9">
        <v>66</v>
      </c>
      <c r="D41" s="9">
        <v>1</v>
      </c>
      <c r="E41" s="9">
        <v>6</v>
      </c>
      <c r="F41" s="10">
        <v>2.4696969696969702</v>
      </c>
      <c r="G41" s="17" t="str">
        <f>IF(Table1[[#This Row],[orders_cancelled]]&gt;3,"ALERT","OK")</f>
        <v>OK</v>
      </c>
      <c r="H41" s="17" t="str">
        <f>IF(Table1[[#This Row],[late_deliveries ]]&gt;10,"ALERT","OK")</f>
        <v>OK</v>
      </c>
      <c r="I41" s="17" t="str">
        <f t="shared" si="1"/>
        <v>OK</v>
      </c>
    </row>
    <row r="42" spans="1:9" ht="21" x14ac:dyDescent="0.35">
      <c r="A42" s="14">
        <v>43340</v>
      </c>
      <c r="B42" s="9">
        <v>44</v>
      </c>
      <c r="C42" s="9">
        <v>39</v>
      </c>
      <c r="D42" s="9">
        <v>5</v>
      </c>
      <c r="E42" s="9">
        <v>1</v>
      </c>
      <c r="F42" s="10">
        <v>1.82051282051282</v>
      </c>
      <c r="G42" s="17" t="str">
        <f>IF(Table1[[#This Row],[orders_cancelled]]&gt;3,"ALERT","OK")</f>
        <v>ALERT</v>
      </c>
      <c r="H42" s="17" t="str">
        <f>IF(Table1[[#This Row],[late_deliveries ]]&gt;10,"ALERT","OK")</f>
        <v>OK</v>
      </c>
      <c r="I42" s="17" t="str">
        <f t="shared" si="1"/>
        <v>OK</v>
      </c>
    </row>
    <row r="43" spans="1:9" ht="21" x14ac:dyDescent="0.35">
      <c r="A43" s="14">
        <v>43341</v>
      </c>
      <c r="B43" s="9">
        <v>14</v>
      </c>
      <c r="C43" s="9">
        <v>11</v>
      </c>
      <c r="D43" s="9">
        <v>3</v>
      </c>
      <c r="E43" s="9">
        <v>0</v>
      </c>
      <c r="F43" s="10">
        <v>1</v>
      </c>
      <c r="G43" s="17" t="str">
        <f>IF(Table1[[#This Row],[orders_cancelled]]&gt;3,"ALERT","OK")</f>
        <v>OK</v>
      </c>
      <c r="H43" s="17" t="str">
        <f>IF(Table1[[#This Row],[late_deliveries ]]&gt;10,"ALERT","OK")</f>
        <v>OK</v>
      </c>
      <c r="I43" s="17" t="str">
        <f t="shared" si="1"/>
        <v>OK</v>
      </c>
    </row>
    <row r="44" spans="1:9" ht="21" x14ac:dyDescent="0.35">
      <c r="A44" s="14">
        <v>43342</v>
      </c>
      <c r="B44" s="9">
        <v>4</v>
      </c>
      <c r="C44" s="9">
        <v>0</v>
      </c>
      <c r="D44" s="9">
        <v>4</v>
      </c>
      <c r="E44" s="9">
        <v>0</v>
      </c>
      <c r="F44" s="10" t="s">
        <v>0</v>
      </c>
      <c r="G44" s="17" t="str">
        <f>IF(Table1[[#This Row],[orders_cancelled]]&gt;3,"ALERT","OK")</f>
        <v>ALERT</v>
      </c>
      <c r="H44" s="17" t="str">
        <f>IF(Table1[[#This Row],[late_deliveries ]]&gt;10,"ALERT","OK")</f>
        <v>OK</v>
      </c>
      <c r="I44" s="17" t="str">
        <f t="shared" si="1"/>
        <v>ALERT</v>
      </c>
    </row>
    <row r="45" spans="1:9" ht="21" x14ac:dyDescent="0.35">
      <c r="A45" s="14">
        <v>43343</v>
      </c>
      <c r="B45" s="9">
        <v>1</v>
      </c>
      <c r="C45" s="9">
        <v>0</v>
      </c>
      <c r="D45" s="9">
        <v>1</v>
      </c>
      <c r="E45" s="9">
        <v>0</v>
      </c>
      <c r="F45" s="10" t="s">
        <v>0</v>
      </c>
      <c r="G45" s="17" t="str">
        <f>IF(Table1[[#This Row],[orders_cancelled]]&gt;3,"ALERT","OK")</f>
        <v>OK</v>
      </c>
      <c r="H45" s="17" t="str">
        <f>IF(Table1[[#This Row],[late_deliveries ]]&gt;10,"ALERT","OK")</f>
        <v>OK</v>
      </c>
      <c r="I45" s="17" t="str">
        <f t="shared" si="1"/>
        <v>ALERT</v>
      </c>
    </row>
    <row r="46" spans="1:9" ht="21" x14ac:dyDescent="0.35">
      <c r="A46" s="14">
        <v>43346</v>
      </c>
      <c r="B46" s="9">
        <v>4</v>
      </c>
      <c r="C46" s="9">
        <v>0</v>
      </c>
      <c r="D46" s="9">
        <v>3</v>
      </c>
      <c r="E46" s="9">
        <v>0</v>
      </c>
      <c r="F46" s="10" t="s">
        <v>0</v>
      </c>
      <c r="G46" s="17" t="str">
        <f>IF(Table1[[#This Row],[orders_cancelled]]&gt;3,"ALERT","OK")</f>
        <v>OK</v>
      </c>
      <c r="H46" s="17" t="str">
        <f>IF(Table1[[#This Row],[late_deliveries ]]&gt;10,"ALERT","OK")</f>
        <v>OK</v>
      </c>
      <c r="I46" s="17" t="str">
        <f t="shared" si="1"/>
        <v>ALERT</v>
      </c>
    </row>
    <row r="47" spans="1:9" ht="21" x14ac:dyDescent="0.35">
      <c r="A47" s="14">
        <v>43349</v>
      </c>
      <c r="B47" s="9">
        <v>3</v>
      </c>
      <c r="C47" s="9">
        <v>0</v>
      </c>
      <c r="D47" s="9">
        <v>3</v>
      </c>
      <c r="E47" s="9">
        <v>0</v>
      </c>
      <c r="F47" s="10" t="s">
        <v>0</v>
      </c>
      <c r="G47" s="17" t="str">
        <f>IF(Table1[[#This Row],[orders_cancelled]]&gt;3,"ALERT","OK")</f>
        <v>OK</v>
      </c>
      <c r="H47" s="17" t="str">
        <f>IF(Table1[[#This Row],[late_deliveries ]]&gt;10,"ALERT","OK")</f>
        <v>OK</v>
      </c>
      <c r="I47" s="17" t="str">
        <f t="shared" si="1"/>
        <v>ALERT</v>
      </c>
    </row>
    <row r="48" spans="1:9" ht="21" x14ac:dyDescent="0.35">
      <c r="A48" s="14">
        <v>43353</v>
      </c>
      <c r="B48" s="9">
        <v>1</v>
      </c>
      <c r="C48" s="9">
        <v>0</v>
      </c>
      <c r="D48" s="9">
        <v>1</v>
      </c>
      <c r="E48" s="9">
        <v>0</v>
      </c>
      <c r="F48" s="10" t="s">
        <v>0</v>
      </c>
      <c r="G48" s="17" t="str">
        <f>IF(Table1[[#This Row],[orders_cancelled]]&gt;3,"ALERT","OK")</f>
        <v>OK</v>
      </c>
      <c r="H48" s="17" t="str">
        <f>IF(Table1[[#This Row],[late_deliveries ]]&gt;10,"ALERT","OK")</f>
        <v>OK</v>
      </c>
      <c r="I48" s="17" t="str">
        <f t="shared" si="1"/>
        <v>ALERT</v>
      </c>
    </row>
    <row r="49" spans="1:9" ht="21" x14ac:dyDescent="0.35">
      <c r="A49" s="14">
        <v>43354</v>
      </c>
      <c r="B49" s="9">
        <v>1</v>
      </c>
      <c r="C49" s="9">
        <v>0</v>
      </c>
      <c r="D49" s="9">
        <v>1</v>
      </c>
      <c r="E49" s="9">
        <v>0</v>
      </c>
      <c r="F49" s="10" t="s">
        <v>0</v>
      </c>
      <c r="G49" s="17" t="str">
        <f>IF(Table1[[#This Row],[orders_cancelled]]&gt;3,"ALERT","OK")</f>
        <v>OK</v>
      </c>
      <c r="H49" s="17" t="str">
        <f>IF(Table1[[#This Row],[late_deliveries ]]&gt;10,"ALERT","OK")</f>
        <v>OK</v>
      </c>
      <c r="I49" s="17" t="str">
        <f t="shared" si="1"/>
        <v>ALERT</v>
      </c>
    </row>
    <row r="50" spans="1:9" ht="21" x14ac:dyDescent="0.35">
      <c r="A50" s="14">
        <v>43355</v>
      </c>
      <c r="B50" s="9">
        <v>1</v>
      </c>
      <c r="C50" s="9">
        <v>0</v>
      </c>
      <c r="D50" s="9">
        <v>1</v>
      </c>
      <c r="E50" s="9">
        <v>0</v>
      </c>
      <c r="F50" s="10" t="s">
        <v>0</v>
      </c>
      <c r="G50" s="17" t="str">
        <f>IF(Table1[[#This Row],[orders_cancelled]]&gt;3,"ALERT","OK")</f>
        <v>OK</v>
      </c>
      <c r="H50" s="17" t="str">
        <f>IF(Table1[[#This Row],[late_deliveries ]]&gt;10,"ALERT","OK")</f>
        <v>OK</v>
      </c>
      <c r="I50" s="17" t="str">
        <f t="shared" si="1"/>
        <v>ALERT</v>
      </c>
    </row>
    <row r="51" spans="1:9" ht="21" x14ac:dyDescent="0.35">
      <c r="A51" s="14">
        <v>43356</v>
      </c>
      <c r="B51" s="9">
        <v>1</v>
      </c>
      <c r="C51" s="9">
        <v>0</v>
      </c>
      <c r="D51" s="9">
        <v>1</v>
      </c>
      <c r="E51" s="9">
        <v>0</v>
      </c>
      <c r="F51" s="10" t="s">
        <v>0</v>
      </c>
      <c r="G51" s="17" t="str">
        <f>IF(Table1[[#This Row],[orders_cancelled]]&gt;3,"ALERT","OK")</f>
        <v>OK</v>
      </c>
      <c r="H51" s="17" t="str">
        <f>IF(Table1[[#This Row],[late_deliveries ]]&gt;10,"ALERT","OK")</f>
        <v>OK</v>
      </c>
      <c r="I51" s="17" t="str">
        <f t="shared" si="1"/>
        <v>ALERT</v>
      </c>
    </row>
    <row r="52" spans="1:9" ht="21" x14ac:dyDescent="0.35">
      <c r="A52" s="14">
        <v>43360</v>
      </c>
      <c r="B52" s="9">
        <v>1</v>
      </c>
      <c r="C52" s="9">
        <v>0</v>
      </c>
      <c r="D52" s="9">
        <v>1</v>
      </c>
      <c r="E52" s="9">
        <v>0</v>
      </c>
      <c r="F52" s="10" t="s">
        <v>0</v>
      </c>
      <c r="G52" s="17" t="str">
        <f>IF(Table1[[#This Row],[orders_cancelled]]&gt;3,"ALERT","OK")</f>
        <v>OK</v>
      </c>
      <c r="H52" s="17" t="str">
        <f>IF(Table1[[#This Row],[late_deliveries ]]&gt;10,"ALERT","OK")</f>
        <v>OK</v>
      </c>
      <c r="I52" s="17" t="str">
        <f t="shared" si="1"/>
        <v>ALERT</v>
      </c>
    </row>
    <row r="53" spans="1:9" ht="21" x14ac:dyDescent="0.35">
      <c r="A53" s="14">
        <v>43363</v>
      </c>
      <c r="B53" s="9">
        <v>1</v>
      </c>
      <c r="C53" s="9">
        <v>0</v>
      </c>
      <c r="D53" s="9">
        <v>1</v>
      </c>
      <c r="E53" s="9">
        <v>0</v>
      </c>
      <c r="F53" s="10" t="s">
        <v>0</v>
      </c>
      <c r="G53" s="17" t="str">
        <f>IF(Table1[[#This Row],[orders_cancelled]]&gt;3,"ALERT","OK")</f>
        <v>OK</v>
      </c>
      <c r="H53" s="17" t="str">
        <f>IF(Table1[[#This Row],[late_deliveries ]]&gt;10,"ALERT","OK")</f>
        <v>OK</v>
      </c>
      <c r="I53" s="17" t="str">
        <f t="shared" si="1"/>
        <v>ALERT</v>
      </c>
    </row>
    <row r="54" spans="1:9" ht="21" x14ac:dyDescent="0.35">
      <c r="A54" s="14">
        <v>43368</v>
      </c>
      <c r="B54" s="9">
        <v>1</v>
      </c>
      <c r="C54" s="9">
        <v>0</v>
      </c>
      <c r="D54" s="9">
        <v>1</v>
      </c>
      <c r="E54" s="9">
        <v>0</v>
      </c>
      <c r="F54" s="10" t="s">
        <v>0</v>
      </c>
      <c r="G54" s="17" t="str">
        <f>IF(Table1[[#This Row],[orders_cancelled]]&gt;3,"ALERT","OK")</f>
        <v>OK</v>
      </c>
      <c r="H54" s="17" t="str">
        <f>IF(Table1[[#This Row],[late_deliveries ]]&gt;10,"ALERT","OK")</f>
        <v>OK</v>
      </c>
      <c r="I54" s="17" t="str">
        <f t="shared" si="1"/>
        <v>ALERT</v>
      </c>
    </row>
    <row r="55" spans="1:9" ht="21" x14ac:dyDescent="0.35">
      <c r="A55" s="14">
        <v>43369</v>
      </c>
      <c r="B55" s="9">
        <v>1</v>
      </c>
      <c r="C55" s="9">
        <v>0</v>
      </c>
      <c r="D55" s="9">
        <v>1</v>
      </c>
      <c r="E55" s="9">
        <v>0</v>
      </c>
      <c r="F55" s="10" t="s">
        <v>0</v>
      </c>
      <c r="G55" s="17" t="str">
        <f>IF(Table1[[#This Row],[orders_cancelled]]&gt;3,"ALERT","OK")</f>
        <v>OK</v>
      </c>
      <c r="H55" s="17" t="str">
        <f>IF(Table1[[#This Row],[late_deliveries ]]&gt;10,"ALERT","OK")</f>
        <v>OK</v>
      </c>
      <c r="I55" s="17" t="str">
        <f t="shared" si="1"/>
        <v>ALERT</v>
      </c>
    </row>
    <row r="56" spans="1:9" ht="21" x14ac:dyDescent="0.35">
      <c r="A56" s="14">
        <v>43372</v>
      </c>
      <c r="B56" s="9">
        <v>1</v>
      </c>
      <c r="C56" s="9">
        <v>0</v>
      </c>
      <c r="D56" s="9">
        <v>1</v>
      </c>
      <c r="E56" s="9">
        <v>0</v>
      </c>
      <c r="F56" s="10" t="s">
        <v>0</v>
      </c>
      <c r="G56" s="17" t="str">
        <f>IF(Table1[[#This Row],[orders_cancelled]]&gt;3,"ALERT","OK")</f>
        <v>OK</v>
      </c>
      <c r="H56" s="17" t="str">
        <f>IF(Table1[[#This Row],[late_deliveries ]]&gt;10,"ALERT","OK")</f>
        <v>OK</v>
      </c>
      <c r="I56" s="17" t="str">
        <f t="shared" si="1"/>
        <v>ALERT</v>
      </c>
    </row>
    <row r="57" spans="1:9" ht="21" x14ac:dyDescent="0.35">
      <c r="A57" s="14">
        <v>43374</v>
      </c>
      <c r="B57" s="9">
        <v>1</v>
      </c>
      <c r="C57" s="9">
        <v>0</v>
      </c>
      <c r="D57" s="9">
        <v>1</v>
      </c>
      <c r="E57" s="9">
        <v>0</v>
      </c>
      <c r="F57" s="10" t="s">
        <v>0</v>
      </c>
      <c r="G57" s="17" t="str">
        <f>IF(Table1[[#This Row],[orders_cancelled]]&gt;3,"ALERT","OK")</f>
        <v>OK</v>
      </c>
      <c r="H57" s="17" t="str">
        <f>IF(Table1[[#This Row],[late_deliveries ]]&gt;10,"ALERT","OK")</f>
        <v>OK</v>
      </c>
      <c r="I57" s="17" t="str">
        <f t="shared" si="1"/>
        <v>ALERT</v>
      </c>
    </row>
    <row r="58" spans="1:9" ht="21" x14ac:dyDescent="0.35">
      <c r="A58" s="14">
        <v>43376</v>
      </c>
      <c r="B58" s="9">
        <v>1</v>
      </c>
      <c r="C58" s="9">
        <v>0</v>
      </c>
      <c r="D58" s="9">
        <v>1</v>
      </c>
      <c r="E58" s="9">
        <v>0</v>
      </c>
      <c r="F58" s="10" t="s">
        <v>0</v>
      </c>
      <c r="G58" s="17" t="str">
        <f>IF(Table1[[#This Row],[orders_cancelled]]&gt;3,"ALERT","OK")</f>
        <v>OK</v>
      </c>
      <c r="H58" s="17" t="str">
        <f>IF(Table1[[#This Row],[late_deliveries ]]&gt;10,"ALERT","OK")</f>
        <v>OK</v>
      </c>
      <c r="I58" s="17" t="str">
        <f t="shared" si="1"/>
        <v>ALERT</v>
      </c>
    </row>
    <row r="59" spans="1:9" ht="21" x14ac:dyDescent="0.35">
      <c r="A59" s="14">
        <v>43389</v>
      </c>
      <c r="B59" s="9">
        <v>1</v>
      </c>
      <c r="C59" s="9">
        <v>0</v>
      </c>
      <c r="D59" s="9">
        <v>1</v>
      </c>
      <c r="E59" s="9">
        <v>0</v>
      </c>
      <c r="F59" s="10" t="s">
        <v>0</v>
      </c>
      <c r="G59" s="17" t="str">
        <f>IF(Table1[[#This Row],[orders_cancelled]]&gt;3,"ALERT","OK")</f>
        <v>OK</v>
      </c>
      <c r="H59" s="17" t="str">
        <f>IF(Table1[[#This Row],[late_deliveries ]]&gt;10,"ALERT","OK")</f>
        <v>OK</v>
      </c>
      <c r="I59" s="17" t="str">
        <f t="shared" si="1"/>
        <v>ALERT</v>
      </c>
    </row>
    <row r="60" spans="1:9" ht="21" x14ac:dyDescent="0.35">
      <c r="A60" s="18">
        <v>43390</v>
      </c>
      <c r="B60" s="12">
        <v>1</v>
      </c>
      <c r="C60" s="12">
        <v>0</v>
      </c>
      <c r="D60" s="12">
        <v>1</v>
      </c>
      <c r="E60" s="12">
        <v>0</v>
      </c>
      <c r="F60" s="13" t="s">
        <v>0</v>
      </c>
      <c r="G60" s="19" t="str">
        <f>IF(Table1[[#This Row],[orders_cancelled]]&gt;3,"ALERT","OK")</f>
        <v>OK</v>
      </c>
      <c r="H60" s="19" t="str">
        <f>IF(Table1[[#This Row],[late_deliveries ]]&gt;10,"ALERT","OK")</f>
        <v>OK</v>
      </c>
      <c r="I60" s="19" t="str">
        <f t="shared" si="1"/>
        <v>ALERT</v>
      </c>
    </row>
  </sheetData>
  <conditionalFormatting sqref="G2:G60">
    <cfRule type="containsText" dxfId="59" priority="2" operator="containsText" text="ALERT">
      <formula>NOT(ISERROR(SEARCH("ALERT",G2)))</formula>
    </cfRule>
  </conditionalFormatting>
  <conditionalFormatting sqref="H2:I60">
    <cfRule type="containsText" dxfId="58" priority="1" operator="containsText" text="ALERT">
      <formula>NOT(ISERROR(SEARCH("ALERT",H2)))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C20" sqref="C20"/>
    </sheetView>
  </sheetViews>
  <sheetFormatPr defaultRowHeight="15" x14ac:dyDescent="0.25"/>
  <cols>
    <col min="1" max="1" width="39.42578125" customWidth="1"/>
    <col min="2" max="2" width="16.42578125" customWidth="1"/>
  </cols>
  <sheetData>
    <row r="1" spans="1:2" ht="23.25" x14ac:dyDescent="0.35">
      <c r="A1" s="49" t="s">
        <v>7</v>
      </c>
      <c r="B1" s="49"/>
    </row>
    <row r="2" spans="1:2" x14ac:dyDescent="0.25">
      <c r="A2" s="1" t="s">
        <v>8</v>
      </c>
      <c r="B2" s="1" t="s">
        <v>9</v>
      </c>
    </row>
    <row r="3" spans="1:2" x14ac:dyDescent="0.25">
      <c r="A3" t="s">
        <v>10</v>
      </c>
      <c r="B3">
        <f>SUM(daily_orders_health_report!B2:B60)</f>
        <v>9529</v>
      </c>
    </row>
    <row r="4" spans="1:2" x14ac:dyDescent="0.25">
      <c r="A4" t="s">
        <v>11</v>
      </c>
      <c r="B4">
        <f>SUM(daily_orders_health_report!C2:C60)</f>
        <v>9284</v>
      </c>
    </row>
    <row r="5" spans="1:2" x14ac:dyDescent="0.25">
      <c r="A5" t="s">
        <v>12</v>
      </c>
      <c r="B5">
        <f>SUM(daily_orders_health_report!D2:D60)</f>
        <v>124</v>
      </c>
    </row>
    <row r="6" spans="1:2" x14ac:dyDescent="0.25">
      <c r="A6" t="s">
        <v>13</v>
      </c>
      <c r="B6">
        <f>SUM(daily_orders_health_report!E2:E60)</f>
        <v>815</v>
      </c>
    </row>
    <row r="7" spans="1:2" x14ac:dyDescent="0.25">
      <c r="A7" t="s">
        <v>14</v>
      </c>
      <c r="B7">
        <v>7.86</v>
      </c>
    </row>
    <row r="8" spans="1:2" x14ac:dyDescent="0.25">
      <c r="A8" t="s">
        <v>15</v>
      </c>
      <c r="B8" s="2">
        <f>B5/B3</f>
        <v>1.3012907965158988E-2</v>
      </c>
    </row>
    <row r="9" spans="1:2" x14ac:dyDescent="0.25">
      <c r="A9" t="s">
        <v>16</v>
      </c>
      <c r="B9" s="2">
        <f>B6/B4</f>
        <v>8.7785437311503664E-2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/>
  </sheetViews>
  <sheetFormatPr defaultRowHeight="15" x14ac:dyDescent="0.25"/>
  <cols>
    <col min="1" max="1" width="139" customWidth="1"/>
  </cols>
  <sheetData>
    <row r="1" spans="1:1" ht="21" x14ac:dyDescent="0.35">
      <c r="A1" s="5" t="s">
        <v>20</v>
      </c>
    </row>
    <row r="3" spans="1:1" ht="18.75" x14ac:dyDescent="0.3">
      <c r="A3" s="4" t="s">
        <v>21</v>
      </c>
    </row>
    <row r="4" spans="1:1" ht="15.75" x14ac:dyDescent="0.25">
      <c r="A4" s="3" t="s">
        <v>30</v>
      </c>
    </row>
    <row r="6" spans="1:1" ht="18.75" x14ac:dyDescent="0.3">
      <c r="A6" s="4" t="s">
        <v>22</v>
      </c>
    </row>
    <row r="7" spans="1:1" ht="31.5" x14ac:dyDescent="0.25">
      <c r="A7" s="6" t="s">
        <v>23</v>
      </c>
    </row>
    <row r="9" spans="1:1" ht="18.75" x14ac:dyDescent="0.3">
      <c r="A9" s="4" t="s">
        <v>24</v>
      </c>
    </row>
    <row r="10" spans="1:1" ht="15.75" x14ac:dyDescent="0.25">
      <c r="A10" s="3" t="s">
        <v>28</v>
      </c>
    </row>
    <row r="11" spans="1:1" ht="15.75" x14ac:dyDescent="0.25">
      <c r="A11" s="3" t="s">
        <v>29</v>
      </c>
    </row>
    <row r="13" spans="1:1" ht="18.75" x14ac:dyDescent="0.3">
      <c r="A13" s="4" t="s">
        <v>25</v>
      </c>
    </row>
    <row r="14" spans="1:1" ht="15.75" x14ac:dyDescent="0.25">
      <c r="A14" s="3" t="s">
        <v>26</v>
      </c>
    </row>
    <row r="15" spans="1:1" ht="15.75" x14ac:dyDescent="0.25">
      <c r="A15" s="3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84"/>
  <sheetViews>
    <sheetView tabSelected="1" zoomScale="70" zoomScaleNormal="70" workbookViewId="0">
      <selection activeCell="C1" sqref="C1:C1048576"/>
    </sheetView>
  </sheetViews>
  <sheetFormatPr defaultRowHeight="15" x14ac:dyDescent="0.25"/>
  <cols>
    <col min="1" max="1" width="12.85546875" customWidth="1"/>
    <col min="2" max="2" width="20.42578125" customWidth="1"/>
    <col min="3" max="3" width="18.85546875" style="1" customWidth="1"/>
    <col min="4" max="4" width="46.85546875" style="66" bestFit="1" customWidth="1"/>
    <col min="5" max="5" width="21.85546875" customWidth="1"/>
    <col min="6" max="6" width="16.85546875" customWidth="1"/>
    <col min="7" max="7" width="13.7109375" customWidth="1"/>
    <col min="8" max="8" width="31" bestFit="1" customWidth="1"/>
    <col min="9" max="9" width="30" bestFit="1" customWidth="1"/>
    <col min="10" max="10" width="30.28515625" bestFit="1" customWidth="1"/>
    <col min="11" max="11" width="26.42578125" bestFit="1" customWidth="1"/>
    <col min="12" max="12" width="23.85546875" bestFit="1" customWidth="1"/>
    <col min="13" max="13" width="20.42578125" customWidth="1"/>
  </cols>
  <sheetData>
    <row r="1" spans="1:13" s="23" customFormat="1" ht="41.25" customHeight="1" x14ac:dyDescent="0.25">
      <c r="A1" s="20" t="s">
        <v>31</v>
      </c>
      <c r="B1" s="21" t="s">
        <v>32</v>
      </c>
      <c r="C1" s="21" t="s">
        <v>33</v>
      </c>
      <c r="D1" s="21" t="s">
        <v>34</v>
      </c>
      <c r="E1" s="21" t="s">
        <v>35</v>
      </c>
      <c r="F1" s="21" t="s">
        <v>36</v>
      </c>
      <c r="G1" s="21" t="s">
        <v>37</v>
      </c>
      <c r="H1" s="21" t="s">
        <v>38</v>
      </c>
      <c r="I1" s="21" t="s">
        <v>39</v>
      </c>
      <c r="J1" s="21" t="s">
        <v>40</v>
      </c>
      <c r="K1" s="22" t="s">
        <v>41</v>
      </c>
      <c r="L1" s="21" t="s">
        <v>130</v>
      </c>
      <c r="M1" s="21" t="s">
        <v>131</v>
      </c>
    </row>
    <row r="2" spans="1:13" ht="21" x14ac:dyDescent="0.35">
      <c r="A2" s="8">
        <v>2016</v>
      </c>
      <c r="B2" s="9">
        <v>9</v>
      </c>
      <c r="C2" s="17" t="s">
        <v>42</v>
      </c>
      <c r="D2" s="64" t="s">
        <v>43</v>
      </c>
      <c r="E2" s="9">
        <v>134.97000499999999</v>
      </c>
      <c r="F2" s="9">
        <v>1</v>
      </c>
      <c r="G2" s="9">
        <v>134.97</v>
      </c>
      <c r="H2" s="9">
        <v>1</v>
      </c>
      <c r="I2" s="9">
        <v>0</v>
      </c>
      <c r="J2" s="9">
        <v>0</v>
      </c>
      <c r="K2" s="62" t="s">
        <v>44</v>
      </c>
      <c r="L2" s="63" t="str">
        <f t="shared" ref="L2:L65" si="0">TEXT(DATE(A2,B2,1),"mmm-yyyy")</f>
        <v>Sep-2016</v>
      </c>
      <c r="M2" s="29">
        <f t="shared" ref="M2:M65" si="1">DATE(A2,B2,1)</f>
        <v>42614</v>
      </c>
    </row>
    <row r="3" spans="1:13" ht="21" x14ac:dyDescent="0.35">
      <c r="A3" s="8">
        <v>2016</v>
      </c>
      <c r="B3" s="9">
        <v>9</v>
      </c>
      <c r="C3" s="17" t="s">
        <v>47</v>
      </c>
      <c r="D3" s="64" t="s">
        <v>45</v>
      </c>
      <c r="E3" s="9">
        <v>72.890003199999995</v>
      </c>
      <c r="F3" s="9">
        <v>1</v>
      </c>
      <c r="G3" s="9">
        <v>72.89</v>
      </c>
      <c r="H3" s="9">
        <v>1</v>
      </c>
      <c r="I3" s="9">
        <v>0</v>
      </c>
      <c r="J3" s="9">
        <v>0</v>
      </c>
      <c r="K3" s="62" t="s">
        <v>44</v>
      </c>
      <c r="L3" s="63" t="str">
        <f t="shared" si="0"/>
        <v>Sep-2016</v>
      </c>
      <c r="M3" s="29">
        <f t="shared" si="1"/>
        <v>42614</v>
      </c>
    </row>
    <row r="4" spans="1:13" ht="21" x14ac:dyDescent="0.35">
      <c r="A4" s="8">
        <v>2016</v>
      </c>
      <c r="B4" s="9">
        <v>9</v>
      </c>
      <c r="C4" s="17" t="s">
        <v>125</v>
      </c>
      <c r="D4" s="64" t="s">
        <v>46</v>
      </c>
      <c r="E4" s="9">
        <v>59.5</v>
      </c>
      <c r="F4" s="9">
        <v>1</v>
      </c>
      <c r="G4" s="9">
        <v>59.5</v>
      </c>
      <c r="H4" s="9">
        <v>1</v>
      </c>
      <c r="I4" s="9">
        <v>1</v>
      </c>
      <c r="J4" s="9">
        <v>100</v>
      </c>
      <c r="K4" s="62" t="s">
        <v>44</v>
      </c>
      <c r="L4" s="63" t="str">
        <f t="shared" si="0"/>
        <v>Sep-2016</v>
      </c>
      <c r="M4" s="29">
        <f t="shared" si="1"/>
        <v>42614</v>
      </c>
    </row>
    <row r="5" spans="1:13" ht="21" x14ac:dyDescent="0.35">
      <c r="A5" s="8">
        <v>2016</v>
      </c>
      <c r="B5" s="9">
        <v>10</v>
      </c>
      <c r="C5" s="17" t="s">
        <v>76</v>
      </c>
      <c r="D5" s="64" t="s">
        <v>45</v>
      </c>
      <c r="E5" s="9">
        <v>5807.8899940000001</v>
      </c>
      <c r="F5" s="9">
        <v>51</v>
      </c>
      <c r="G5" s="9">
        <v>113.88</v>
      </c>
      <c r="H5" s="9">
        <v>3.76</v>
      </c>
      <c r="I5" s="9">
        <v>0</v>
      </c>
      <c r="J5" s="9">
        <v>0</v>
      </c>
      <c r="K5" s="62" t="s">
        <v>44</v>
      </c>
      <c r="L5" s="63" t="str">
        <f t="shared" si="0"/>
        <v>Oct-2016</v>
      </c>
      <c r="M5" s="29">
        <f t="shared" si="1"/>
        <v>42644</v>
      </c>
    </row>
    <row r="6" spans="1:13" ht="21" x14ac:dyDescent="0.35">
      <c r="A6" s="8">
        <v>2016</v>
      </c>
      <c r="B6" s="9">
        <v>10</v>
      </c>
      <c r="C6" s="17" t="s">
        <v>77</v>
      </c>
      <c r="D6" s="64" t="s">
        <v>48</v>
      </c>
      <c r="E6" s="9">
        <v>5688.6999089999999</v>
      </c>
      <c r="F6" s="9">
        <v>30</v>
      </c>
      <c r="G6" s="9">
        <v>189.62</v>
      </c>
      <c r="H6" s="9">
        <v>4.3333329999999997</v>
      </c>
      <c r="I6" s="9">
        <v>2</v>
      </c>
      <c r="J6" s="9">
        <v>6.67</v>
      </c>
      <c r="K6" s="62" t="s">
        <v>44</v>
      </c>
      <c r="L6" s="63" t="str">
        <f t="shared" si="0"/>
        <v>Oct-2016</v>
      </c>
      <c r="M6" s="29">
        <f t="shared" si="1"/>
        <v>42644</v>
      </c>
    </row>
    <row r="7" spans="1:13" ht="21" x14ac:dyDescent="0.35">
      <c r="A7" s="8">
        <v>2016</v>
      </c>
      <c r="B7" s="9">
        <v>10</v>
      </c>
      <c r="C7" s="17" t="s">
        <v>94</v>
      </c>
      <c r="D7" s="64" t="s">
        <v>43</v>
      </c>
      <c r="E7" s="9">
        <v>4552.5100210000001</v>
      </c>
      <c r="F7" s="9">
        <v>44</v>
      </c>
      <c r="G7" s="9">
        <v>103.47</v>
      </c>
      <c r="H7" s="9">
        <v>3.5</v>
      </c>
      <c r="I7" s="9">
        <v>2</v>
      </c>
      <c r="J7" s="9">
        <v>4.55</v>
      </c>
      <c r="K7" s="62" t="s">
        <v>44</v>
      </c>
      <c r="L7" s="63" t="str">
        <f t="shared" si="0"/>
        <v>Oct-2016</v>
      </c>
      <c r="M7" s="29">
        <f t="shared" si="1"/>
        <v>42644</v>
      </c>
    </row>
    <row r="8" spans="1:13" ht="21" x14ac:dyDescent="0.35">
      <c r="A8" s="8">
        <v>2016</v>
      </c>
      <c r="B8" s="9">
        <v>10</v>
      </c>
      <c r="C8" s="17" t="s">
        <v>103</v>
      </c>
      <c r="D8" s="64" t="s">
        <v>49</v>
      </c>
      <c r="E8" s="9">
        <v>4465.08997</v>
      </c>
      <c r="F8" s="9">
        <v>25</v>
      </c>
      <c r="G8" s="9">
        <v>178.6</v>
      </c>
      <c r="H8" s="9">
        <v>3.8333330000000001</v>
      </c>
      <c r="I8" s="9">
        <v>3</v>
      </c>
      <c r="J8" s="9">
        <v>12</v>
      </c>
      <c r="K8" s="62" t="s">
        <v>44</v>
      </c>
      <c r="L8" s="63" t="str">
        <f t="shared" si="0"/>
        <v>Oct-2016</v>
      </c>
      <c r="M8" s="29">
        <f t="shared" si="1"/>
        <v>42644</v>
      </c>
    </row>
    <row r="9" spans="1:13" ht="21" x14ac:dyDescent="0.35">
      <c r="A9" s="8">
        <v>2016</v>
      </c>
      <c r="B9" s="9">
        <v>10</v>
      </c>
      <c r="C9" s="17" t="s">
        <v>109</v>
      </c>
      <c r="D9" s="64" t="s">
        <v>50</v>
      </c>
      <c r="E9" s="9">
        <v>3882.2599909999999</v>
      </c>
      <c r="F9" s="9">
        <v>10</v>
      </c>
      <c r="G9" s="9">
        <v>388.23</v>
      </c>
      <c r="H9" s="9">
        <v>3.4</v>
      </c>
      <c r="I9" s="9">
        <v>0</v>
      </c>
      <c r="J9" s="9">
        <v>0</v>
      </c>
      <c r="K9" s="62" t="s">
        <v>44</v>
      </c>
      <c r="L9" s="63" t="str">
        <f t="shared" si="0"/>
        <v>Oct-2016</v>
      </c>
      <c r="M9" s="29">
        <f t="shared" si="1"/>
        <v>42644</v>
      </c>
    </row>
    <row r="10" spans="1:13" ht="21" x14ac:dyDescent="0.35">
      <c r="A10" s="8">
        <v>2016</v>
      </c>
      <c r="B10" s="9">
        <v>10</v>
      </c>
      <c r="C10" s="17" t="s">
        <v>115</v>
      </c>
      <c r="D10" s="64" t="s">
        <v>51</v>
      </c>
      <c r="E10" s="9">
        <v>3360.2399650000002</v>
      </c>
      <c r="F10" s="9">
        <v>5</v>
      </c>
      <c r="G10" s="9">
        <v>672.05</v>
      </c>
      <c r="H10" s="9">
        <v>4</v>
      </c>
      <c r="I10" s="9">
        <v>0</v>
      </c>
      <c r="J10" s="9">
        <v>0</v>
      </c>
      <c r="K10" s="62" t="s">
        <v>44</v>
      </c>
      <c r="L10" s="63" t="str">
        <f t="shared" si="0"/>
        <v>Oct-2016</v>
      </c>
      <c r="M10" s="29">
        <f t="shared" si="1"/>
        <v>42644</v>
      </c>
    </row>
    <row r="11" spans="1:13" ht="21" x14ac:dyDescent="0.35">
      <c r="A11" s="8">
        <v>2016</v>
      </c>
      <c r="B11" s="9">
        <v>10</v>
      </c>
      <c r="C11" s="17" t="s">
        <v>118</v>
      </c>
      <c r="D11" s="64" t="s">
        <v>52</v>
      </c>
      <c r="E11" s="9">
        <v>3333.640003</v>
      </c>
      <c r="F11" s="9">
        <v>19</v>
      </c>
      <c r="G11" s="9">
        <v>175.45</v>
      </c>
      <c r="H11" s="9">
        <v>3.947368</v>
      </c>
      <c r="I11" s="9">
        <v>2</v>
      </c>
      <c r="J11" s="9">
        <v>10.53</v>
      </c>
      <c r="K11" s="62" t="s">
        <v>44</v>
      </c>
      <c r="L11" s="63" t="str">
        <f t="shared" si="0"/>
        <v>Oct-2016</v>
      </c>
      <c r="M11" s="29">
        <f t="shared" si="1"/>
        <v>42644</v>
      </c>
    </row>
    <row r="12" spans="1:13" ht="21" x14ac:dyDescent="0.35">
      <c r="A12" s="8">
        <v>2016</v>
      </c>
      <c r="B12" s="9">
        <v>10</v>
      </c>
      <c r="C12" s="17" t="s">
        <v>120</v>
      </c>
      <c r="D12" s="64" t="s">
        <v>53</v>
      </c>
      <c r="E12" s="9">
        <v>1833.2499829999999</v>
      </c>
      <c r="F12" s="9">
        <v>11</v>
      </c>
      <c r="G12" s="9">
        <v>166.66</v>
      </c>
      <c r="H12" s="9">
        <v>2.90909</v>
      </c>
      <c r="I12" s="9">
        <v>1</v>
      </c>
      <c r="J12" s="9">
        <v>9.09</v>
      </c>
      <c r="K12" s="62" t="s">
        <v>44</v>
      </c>
      <c r="L12" s="63" t="str">
        <f t="shared" si="0"/>
        <v>Oct-2016</v>
      </c>
      <c r="M12" s="29">
        <f t="shared" si="1"/>
        <v>42644</v>
      </c>
    </row>
    <row r="13" spans="1:13" ht="21" x14ac:dyDescent="0.35">
      <c r="A13" s="8">
        <v>2016</v>
      </c>
      <c r="B13" s="9">
        <v>10</v>
      </c>
      <c r="C13" s="17" t="s">
        <v>124</v>
      </c>
      <c r="D13" s="64" t="s">
        <v>54</v>
      </c>
      <c r="E13" s="9">
        <v>1707.089935</v>
      </c>
      <c r="F13" s="9">
        <v>5</v>
      </c>
      <c r="G13" s="9">
        <v>341.42</v>
      </c>
      <c r="H13" s="9">
        <v>3.4</v>
      </c>
      <c r="I13" s="9">
        <v>0</v>
      </c>
      <c r="J13" s="9">
        <v>0</v>
      </c>
      <c r="K13" s="62" t="s">
        <v>44</v>
      </c>
      <c r="L13" s="63" t="str">
        <f t="shared" si="0"/>
        <v>Oct-2016</v>
      </c>
      <c r="M13" s="29">
        <f t="shared" si="1"/>
        <v>42644</v>
      </c>
    </row>
    <row r="14" spans="1:13" ht="21" x14ac:dyDescent="0.35">
      <c r="A14" s="8">
        <v>2016</v>
      </c>
      <c r="B14" s="9">
        <v>10</v>
      </c>
      <c r="C14" s="17" t="s">
        <v>42</v>
      </c>
      <c r="D14" s="64" t="s">
        <v>55</v>
      </c>
      <c r="E14" s="9">
        <v>1630.1600060000001</v>
      </c>
      <c r="F14" s="9">
        <v>11</v>
      </c>
      <c r="G14" s="9">
        <v>148.19999999999999</v>
      </c>
      <c r="H14" s="9">
        <v>3.454545</v>
      </c>
      <c r="I14" s="9">
        <v>1</v>
      </c>
      <c r="J14" s="9">
        <v>9.09</v>
      </c>
      <c r="K14" s="62" t="s">
        <v>44</v>
      </c>
      <c r="L14" s="63" t="str">
        <f t="shared" si="0"/>
        <v>Oct-2016</v>
      </c>
      <c r="M14" s="29">
        <f t="shared" si="1"/>
        <v>42644</v>
      </c>
    </row>
    <row r="15" spans="1:13" ht="21" x14ac:dyDescent="0.35">
      <c r="A15" s="8">
        <v>2016</v>
      </c>
      <c r="B15" s="9">
        <v>10</v>
      </c>
      <c r="C15" s="17" t="s">
        <v>47</v>
      </c>
      <c r="D15" s="64" t="s">
        <v>56</v>
      </c>
      <c r="E15" s="9">
        <v>1399.320005</v>
      </c>
      <c r="F15" s="9">
        <v>18</v>
      </c>
      <c r="G15" s="9">
        <v>77.739999999999995</v>
      </c>
      <c r="H15" s="9">
        <v>3.055555</v>
      </c>
      <c r="I15" s="9">
        <v>0</v>
      </c>
      <c r="J15" s="9">
        <v>0</v>
      </c>
      <c r="K15" s="62" t="s">
        <v>44</v>
      </c>
      <c r="L15" s="63" t="str">
        <f t="shared" si="0"/>
        <v>Oct-2016</v>
      </c>
      <c r="M15" s="29">
        <f t="shared" si="1"/>
        <v>42644</v>
      </c>
    </row>
    <row r="16" spans="1:13" ht="21" x14ac:dyDescent="0.35">
      <c r="A16" s="8">
        <v>2016</v>
      </c>
      <c r="B16" s="9">
        <v>10</v>
      </c>
      <c r="C16" s="17" t="s">
        <v>125</v>
      </c>
      <c r="D16" s="64" t="s">
        <v>57</v>
      </c>
      <c r="E16" s="9">
        <v>1359.879997</v>
      </c>
      <c r="F16" s="9">
        <v>5</v>
      </c>
      <c r="G16" s="9">
        <v>271.98</v>
      </c>
      <c r="H16" s="9">
        <v>4.2</v>
      </c>
      <c r="I16" s="9">
        <v>0</v>
      </c>
      <c r="J16" s="9">
        <v>0</v>
      </c>
      <c r="K16" s="62" t="s">
        <v>44</v>
      </c>
      <c r="L16" s="63" t="str">
        <f t="shared" si="0"/>
        <v>Oct-2016</v>
      </c>
      <c r="M16" s="29">
        <f t="shared" si="1"/>
        <v>42644</v>
      </c>
    </row>
    <row r="17" spans="1:13" ht="21" x14ac:dyDescent="0.35">
      <c r="A17" s="8">
        <v>2016</v>
      </c>
      <c r="B17" s="9">
        <v>10</v>
      </c>
      <c r="C17" s="17" t="s">
        <v>76</v>
      </c>
      <c r="D17" s="64" t="s">
        <v>58</v>
      </c>
      <c r="E17" s="9">
        <v>1306.989998</v>
      </c>
      <c r="F17" s="9">
        <v>2</v>
      </c>
      <c r="G17" s="9">
        <v>653.49</v>
      </c>
      <c r="H17" s="9">
        <v>3</v>
      </c>
      <c r="I17" s="9">
        <v>0</v>
      </c>
      <c r="J17" s="9">
        <v>0</v>
      </c>
      <c r="K17" s="62" t="s">
        <v>44</v>
      </c>
      <c r="L17" s="63" t="str">
        <f t="shared" si="0"/>
        <v>Oct-2016</v>
      </c>
      <c r="M17" s="29">
        <f t="shared" si="1"/>
        <v>42644</v>
      </c>
    </row>
    <row r="18" spans="1:13" ht="21" x14ac:dyDescent="0.35">
      <c r="A18" s="8">
        <v>2016</v>
      </c>
      <c r="B18" s="9">
        <v>10</v>
      </c>
      <c r="C18" s="17" t="s">
        <v>77</v>
      </c>
      <c r="D18" s="64" t="s">
        <v>59</v>
      </c>
      <c r="E18" s="9">
        <v>1306.190002</v>
      </c>
      <c r="F18" s="9">
        <v>7</v>
      </c>
      <c r="G18" s="9">
        <v>186.6</v>
      </c>
      <c r="H18" s="9">
        <v>4.1428570000000002</v>
      </c>
      <c r="I18" s="9">
        <v>0</v>
      </c>
      <c r="J18" s="9">
        <v>0</v>
      </c>
      <c r="K18" s="62" t="s">
        <v>44</v>
      </c>
      <c r="L18" s="63" t="str">
        <f t="shared" si="0"/>
        <v>Oct-2016</v>
      </c>
      <c r="M18" s="29">
        <f t="shared" si="1"/>
        <v>42644</v>
      </c>
    </row>
    <row r="19" spans="1:13" ht="21" x14ac:dyDescent="0.35">
      <c r="A19" s="8">
        <v>2016</v>
      </c>
      <c r="B19" s="9">
        <v>10</v>
      </c>
      <c r="C19" s="17" t="s">
        <v>94</v>
      </c>
      <c r="D19" s="64" t="s">
        <v>60</v>
      </c>
      <c r="E19" s="9">
        <v>1300.8799899999999</v>
      </c>
      <c r="F19" s="9">
        <v>6</v>
      </c>
      <c r="G19" s="9">
        <v>216.81</v>
      </c>
      <c r="H19" s="9">
        <v>1.6</v>
      </c>
      <c r="I19" s="9">
        <v>0</v>
      </c>
      <c r="J19" s="9">
        <v>0</v>
      </c>
      <c r="K19" s="62" t="s">
        <v>44</v>
      </c>
      <c r="L19" s="63" t="str">
        <f t="shared" si="0"/>
        <v>Oct-2016</v>
      </c>
      <c r="M19" s="29">
        <f t="shared" si="1"/>
        <v>42644</v>
      </c>
    </row>
    <row r="20" spans="1:13" ht="21" x14ac:dyDescent="0.35">
      <c r="A20" s="8">
        <v>2016</v>
      </c>
      <c r="B20" s="9">
        <v>10</v>
      </c>
      <c r="C20" s="17" t="s">
        <v>103</v>
      </c>
      <c r="D20" s="64" t="s">
        <v>61</v>
      </c>
      <c r="E20" s="9">
        <v>1287.070005</v>
      </c>
      <c r="F20" s="9">
        <v>9</v>
      </c>
      <c r="G20" s="9">
        <v>143.01</v>
      </c>
      <c r="H20" s="9">
        <v>3.3333330000000001</v>
      </c>
      <c r="I20" s="9">
        <v>0</v>
      </c>
      <c r="J20" s="9">
        <v>0</v>
      </c>
      <c r="K20" s="62" t="s">
        <v>44</v>
      </c>
      <c r="L20" s="63" t="str">
        <f t="shared" si="0"/>
        <v>Oct-2016</v>
      </c>
      <c r="M20" s="29">
        <f t="shared" si="1"/>
        <v>42644</v>
      </c>
    </row>
    <row r="21" spans="1:13" ht="21" x14ac:dyDescent="0.35">
      <c r="A21" s="8">
        <v>2016</v>
      </c>
      <c r="B21" s="9">
        <v>10</v>
      </c>
      <c r="C21" s="17" t="s">
        <v>109</v>
      </c>
      <c r="D21" s="64" t="s">
        <v>62</v>
      </c>
      <c r="E21" s="9">
        <v>1110.999992</v>
      </c>
      <c r="F21" s="9">
        <v>8</v>
      </c>
      <c r="G21" s="9">
        <v>138.87</v>
      </c>
      <c r="H21" s="9">
        <v>3.75</v>
      </c>
      <c r="I21" s="9">
        <v>0</v>
      </c>
      <c r="J21" s="9">
        <v>0</v>
      </c>
      <c r="K21" s="62" t="s">
        <v>44</v>
      </c>
      <c r="L21" s="63" t="str">
        <f t="shared" si="0"/>
        <v>Oct-2016</v>
      </c>
      <c r="M21" s="29">
        <f t="shared" si="1"/>
        <v>42644</v>
      </c>
    </row>
    <row r="22" spans="1:13" ht="21" x14ac:dyDescent="0.35">
      <c r="A22" s="8">
        <v>2016</v>
      </c>
      <c r="B22" s="9">
        <v>10</v>
      </c>
      <c r="C22" s="17" t="s">
        <v>115</v>
      </c>
      <c r="D22" s="64" t="s">
        <v>63</v>
      </c>
      <c r="E22" s="9">
        <v>704.87999730000001</v>
      </c>
      <c r="F22" s="9">
        <v>5</v>
      </c>
      <c r="G22" s="9">
        <v>140.97999999999999</v>
      </c>
      <c r="H22" s="9">
        <v>4</v>
      </c>
      <c r="I22" s="9">
        <v>0</v>
      </c>
      <c r="J22" s="9">
        <v>0</v>
      </c>
      <c r="K22" s="62" t="s">
        <v>44</v>
      </c>
      <c r="L22" s="63" t="str">
        <f t="shared" si="0"/>
        <v>Oct-2016</v>
      </c>
      <c r="M22" s="29">
        <f t="shared" si="1"/>
        <v>42644</v>
      </c>
    </row>
    <row r="23" spans="1:13" ht="21" x14ac:dyDescent="0.35">
      <c r="A23" s="8">
        <v>2016</v>
      </c>
      <c r="B23" s="9">
        <v>10</v>
      </c>
      <c r="C23" s="17" t="s">
        <v>118</v>
      </c>
      <c r="D23" s="64" t="s">
        <v>64</v>
      </c>
      <c r="E23" s="9">
        <v>689.68001560000005</v>
      </c>
      <c r="F23" s="9">
        <v>4</v>
      </c>
      <c r="G23" s="9">
        <v>172.42</v>
      </c>
      <c r="H23" s="9">
        <v>4.25</v>
      </c>
      <c r="I23" s="9">
        <v>0</v>
      </c>
      <c r="J23" s="9">
        <v>0</v>
      </c>
      <c r="K23" s="62" t="s">
        <v>44</v>
      </c>
      <c r="L23" s="63" t="str">
        <f t="shared" si="0"/>
        <v>Oct-2016</v>
      </c>
      <c r="M23" s="29">
        <f t="shared" si="1"/>
        <v>42644</v>
      </c>
    </row>
    <row r="24" spans="1:13" ht="21" x14ac:dyDescent="0.35">
      <c r="A24" s="8">
        <v>2016</v>
      </c>
      <c r="B24" s="9">
        <v>10</v>
      </c>
      <c r="C24" s="17" t="s">
        <v>120</v>
      </c>
      <c r="D24" s="64" t="s">
        <v>65</v>
      </c>
      <c r="E24" s="9">
        <v>508.30000310000003</v>
      </c>
      <c r="F24" s="9">
        <v>8</v>
      </c>
      <c r="G24" s="9">
        <v>63.54</v>
      </c>
      <c r="H24" s="9">
        <v>3.375</v>
      </c>
      <c r="I24" s="9">
        <v>1</v>
      </c>
      <c r="J24" s="9">
        <v>12.5</v>
      </c>
      <c r="K24" s="62" t="s">
        <v>44</v>
      </c>
      <c r="L24" s="63" t="str">
        <f t="shared" si="0"/>
        <v>Oct-2016</v>
      </c>
      <c r="M24" s="29">
        <f t="shared" si="1"/>
        <v>42644</v>
      </c>
    </row>
    <row r="25" spans="1:13" ht="21" x14ac:dyDescent="0.35">
      <c r="A25" s="8">
        <v>2016</v>
      </c>
      <c r="B25" s="9">
        <v>10</v>
      </c>
      <c r="C25" s="17" t="s">
        <v>124</v>
      </c>
      <c r="D25" s="64" t="s">
        <v>46</v>
      </c>
      <c r="E25" s="9">
        <v>500.07999419999999</v>
      </c>
      <c r="F25" s="9">
        <v>9</v>
      </c>
      <c r="G25" s="9">
        <v>55.56</v>
      </c>
      <c r="H25" s="9">
        <v>3.7777769999999999</v>
      </c>
      <c r="I25" s="9">
        <v>1</v>
      </c>
      <c r="J25" s="9">
        <v>11.11</v>
      </c>
      <c r="K25" s="62" t="s">
        <v>44</v>
      </c>
      <c r="L25" s="63" t="str">
        <f t="shared" si="0"/>
        <v>Oct-2016</v>
      </c>
      <c r="M25" s="29">
        <f t="shared" si="1"/>
        <v>42644</v>
      </c>
    </row>
    <row r="26" spans="1:13" ht="21" x14ac:dyDescent="0.35">
      <c r="A26" s="8">
        <v>2016</v>
      </c>
      <c r="B26" s="9">
        <v>10</v>
      </c>
      <c r="C26" s="17" t="s">
        <v>42</v>
      </c>
      <c r="D26" s="64" t="s">
        <v>66</v>
      </c>
      <c r="E26" s="9">
        <v>478.98999789999999</v>
      </c>
      <c r="F26" s="9">
        <v>5</v>
      </c>
      <c r="G26" s="9">
        <v>95.8</v>
      </c>
      <c r="H26" s="9">
        <v>4</v>
      </c>
      <c r="I26" s="9">
        <v>0</v>
      </c>
      <c r="J26" s="9">
        <v>0</v>
      </c>
      <c r="K26" s="62" t="s">
        <v>44</v>
      </c>
      <c r="L26" s="63" t="str">
        <f t="shared" si="0"/>
        <v>Oct-2016</v>
      </c>
      <c r="M26" s="29">
        <f t="shared" si="1"/>
        <v>42644</v>
      </c>
    </row>
    <row r="27" spans="1:13" ht="21" x14ac:dyDescent="0.35">
      <c r="A27" s="8">
        <v>2016</v>
      </c>
      <c r="B27" s="9">
        <v>10</v>
      </c>
      <c r="C27" s="17" t="s">
        <v>47</v>
      </c>
      <c r="D27" s="64" t="s">
        <v>67</v>
      </c>
      <c r="E27" s="9">
        <v>359.60000609999997</v>
      </c>
      <c r="F27" s="9">
        <v>3</v>
      </c>
      <c r="G27" s="9">
        <v>119.87</v>
      </c>
      <c r="H27" s="9">
        <v>4.3333329999999997</v>
      </c>
      <c r="I27" s="9">
        <v>0</v>
      </c>
      <c r="J27" s="9">
        <v>0</v>
      </c>
      <c r="K27" s="62" t="s">
        <v>44</v>
      </c>
      <c r="L27" s="63" t="str">
        <f t="shared" si="0"/>
        <v>Oct-2016</v>
      </c>
      <c r="M27" s="29">
        <f t="shared" si="1"/>
        <v>42644</v>
      </c>
    </row>
    <row r="28" spans="1:13" ht="21" x14ac:dyDescent="0.35">
      <c r="A28" s="8">
        <v>2016</v>
      </c>
      <c r="B28" s="9">
        <v>10</v>
      </c>
      <c r="C28" s="17" t="s">
        <v>125</v>
      </c>
      <c r="D28" s="64" t="s">
        <v>68</v>
      </c>
      <c r="E28" s="9">
        <v>267</v>
      </c>
      <c r="F28" s="9">
        <v>1</v>
      </c>
      <c r="G28" s="9">
        <v>267</v>
      </c>
      <c r="H28" s="9">
        <v>1</v>
      </c>
      <c r="I28" s="9">
        <v>0</v>
      </c>
      <c r="J28" s="9">
        <v>0</v>
      </c>
      <c r="K28" s="62" t="s">
        <v>44</v>
      </c>
      <c r="L28" s="63" t="str">
        <f t="shared" si="0"/>
        <v>Oct-2016</v>
      </c>
      <c r="M28" s="29">
        <f t="shared" si="1"/>
        <v>42644</v>
      </c>
    </row>
    <row r="29" spans="1:13" ht="21" x14ac:dyDescent="0.35">
      <c r="A29" s="8">
        <v>2016</v>
      </c>
      <c r="B29" s="9">
        <v>10</v>
      </c>
      <c r="C29" s="17" t="s">
        <v>76</v>
      </c>
      <c r="D29" s="64" t="s">
        <v>69</v>
      </c>
      <c r="E29" s="9">
        <v>156.98999979999999</v>
      </c>
      <c r="F29" s="9">
        <v>2</v>
      </c>
      <c r="G29" s="9">
        <v>78.489999999999995</v>
      </c>
      <c r="H29" s="9">
        <v>5</v>
      </c>
      <c r="I29" s="9">
        <v>0</v>
      </c>
      <c r="J29" s="9">
        <v>0</v>
      </c>
      <c r="K29" s="62" t="s">
        <v>44</v>
      </c>
      <c r="L29" s="63" t="str">
        <f t="shared" si="0"/>
        <v>Oct-2016</v>
      </c>
      <c r="M29" s="29">
        <f t="shared" si="1"/>
        <v>42644</v>
      </c>
    </row>
    <row r="30" spans="1:13" ht="21" x14ac:dyDescent="0.35">
      <c r="A30" s="8">
        <v>2016</v>
      </c>
      <c r="B30" s="9">
        <v>10</v>
      </c>
      <c r="C30" s="17" t="s">
        <v>77</v>
      </c>
      <c r="D30" s="64" t="s">
        <v>70</v>
      </c>
      <c r="E30" s="9">
        <v>134.8999939</v>
      </c>
      <c r="F30" s="9">
        <v>1</v>
      </c>
      <c r="G30" s="9">
        <v>134.9</v>
      </c>
      <c r="H30" s="9">
        <v>5</v>
      </c>
      <c r="I30" s="9">
        <v>0</v>
      </c>
      <c r="J30" s="9">
        <v>0</v>
      </c>
      <c r="K30" s="62" t="s">
        <v>44</v>
      </c>
      <c r="L30" s="63" t="str">
        <f t="shared" si="0"/>
        <v>Oct-2016</v>
      </c>
      <c r="M30" s="29">
        <f t="shared" si="1"/>
        <v>42644</v>
      </c>
    </row>
    <row r="31" spans="1:13" ht="21" x14ac:dyDescent="0.35">
      <c r="A31" s="8">
        <v>2016</v>
      </c>
      <c r="B31" s="9">
        <v>10</v>
      </c>
      <c r="C31" s="17" t="s">
        <v>94</v>
      </c>
      <c r="D31" s="64" t="s">
        <v>71</v>
      </c>
      <c r="E31" s="9">
        <v>119.5</v>
      </c>
      <c r="F31" s="9">
        <v>1</v>
      </c>
      <c r="G31" s="9">
        <v>119.5</v>
      </c>
      <c r="H31" s="9">
        <v>5</v>
      </c>
      <c r="I31" s="9">
        <v>0</v>
      </c>
      <c r="J31" s="9">
        <v>0</v>
      </c>
      <c r="K31" s="62" t="s">
        <v>44</v>
      </c>
      <c r="L31" s="63" t="str">
        <f t="shared" si="0"/>
        <v>Oct-2016</v>
      </c>
      <c r="M31" s="29">
        <f t="shared" si="1"/>
        <v>42644</v>
      </c>
    </row>
    <row r="32" spans="1:13" ht="21" x14ac:dyDescent="0.35">
      <c r="A32" s="8">
        <v>2016</v>
      </c>
      <c r="B32" s="9">
        <v>10</v>
      </c>
      <c r="C32" s="17" t="s">
        <v>103</v>
      </c>
      <c r="D32" s="64" t="s">
        <v>72</v>
      </c>
      <c r="E32" s="9">
        <v>79.900001529999997</v>
      </c>
      <c r="F32" s="9">
        <v>1</v>
      </c>
      <c r="G32" s="9">
        <v>79.900000000000006</v>
      </c>
      <c r="H32" s="9">
        <v>5</v>
      </c>
      <c r="I32" s="9">
        <v>0</v>
      </c>
      <c r="J32" s="9">
        <v>0</v>
      </c>
      <c r="K32" s="62" t="s">
        <v>44</v>
      </c>
      <c r="L32" s="63" t="str">
        <f t="shared" si="0"/>
        <v>Oct-2016</v>
      </c>
      <c r="M32" s="29">
        <f t="shared" si="1"/>
        <v>42644</v>
      </c>
    </row>
    <row r="33" spans="1:13" ht="21" x14ac:dyDescent="0.35">
      <c r="A33" s="8">
        <v>2016</v>
      </c>
      <c r="B33" s="9">
        <v>10</v>
      </c>
      <c r="C33" s="17" t="s">
        <v>109</v>
      </c>
      <c r="D33" s="64" t="s">
        <v>0</v>
      </c>
      <c r="E33" s="9">
        <v>65.890001299999994</v>
      </c>
      <c r="F33" s="9">
        <v>2</v>
      </c>
      <c r="G33" s="9">
        <v>32.950000000000003</v>
      </c>
      <c r="H33" s="9" t="s">
        <v>0</v>
      </c>
      <c r="I33" s="9" t="s">
        <v>0</v>
      </c>
      <c r="J33" s="9" t="s">
        <v>0</v>
      </c>
      <c r="K33" s="62" t="s">
        <v>44</v>
      </c>
      <c r="L33" s="63" t="str">
        <f t="shared" si="0"/>
        <v>Oct-2016</v>
      </c>
      <c r="M33" s="29">
        <f t="shared" si="1"/>
        <v>42644</v>
      </c>
    </row>
    <row r="34" spans="1:13" ht="21" x14ac:dyDescent="0.35">
      <c r="A34" s="8">
        <v>2016</v>
      </c>
      <c r="B34" s="9">
        <v>10</v>
      </c>
      <c r="C34" s="17" t="s">
        <v>115</v>
      </c>
      <c r="D34" s="64" t="s">
        <v>73</v>
      </c>
      <c r="E34" s="9">
        <v>54.900001529999997</v>
      </c>
      <c r="F34" s="9">
        <v>1</v>
      </c>
      <c r="G34" s="9">
        <v>54.9</v>
      </c>
      <c r="H34" s="9">
        <v>5</v>
      </c>
      <c r="I34" s="9">
        <v>0</v>
      </c>
      <c r="J34" s="9">
        <v>0</v>
      </c>
      <c r="K34" s="62" t="s">
        <v>44</v>
      </c>
      <c r="L34" s="63" t="str">
        <f t="shared" si="0"/>
        <v>Oct-2016</v>
      </c>
      <c r="M34" s="29">
        <f t="shared" si="1"/>
        <v>42644</v>
      </c>
    </row>
    <row r="35" spans="1:13" ht="21" x14ac:dyDescent="0.35">
      <c r="A35" s="8">
        <v>2016</v>
      </c>
      <c r="B35" s="9">
        <v>10</v>
      </c>
      <c r="C35" s="17" t="s">
        <v>118</v>
      </c>
      <c r="D35" s="64" t="s">
        <v>74</v>
      </c>
      <c r="E35" s="9">
        <v>29.989999770000001</v>
      </c>
      <c r="F35" s="9">
        <v>1</v>
      </c>
      <c r="G35" s="9">
        <v>29.99</v>
      </c>
      <c r="H35" s="9">
        <v>5</v>
      </c>
      <c r="I35" s="9">
        <v>0</v>
      </c>
      <c r="J35" s="9">
        <v>0</v>
      </c>
      <c r="K35" s="62" t="s">
        <v>44</v>
      </c>
      <c r="L35" s="63" t="str">
        <f t="shared" si="0"/>
        <v>Oct-2016</v>
      </c>
      <c r="M35" s="29">
        <f t="shared" si="1"/>
        <v>42644</v>
      </c>
    </row>
    <row r="36" spans="1:13" ht="21" x14ac:dyDescent="0.35">
      <c r="A36" s="8">
        <v>2016</v>
      </c>
      <c r="B36" s="9">
        <v>10</v>
      </c>
      <c r="C36" s="17" t="s">
        <v>120</v>
      </c>
      <c r="D36" s="64" t="s">
        <v>75</v>
      </c>
      <c r="E36" s="9">
        <v>24.899999619999999</v>
      </c>
      <c r="F36" s="9">
        <v>1</v>
      </c>
      <c r="G36" s="9">
        <v>24.9</v>
      </c>
      <c r="H36" s="9">
        <v>1</v>
      </c>
      <c r="I36" s="9">
        <v>0</v>
      </c>
      <c r="J36" s="9">
        <v>0</v>
      </c>
      <c r="K36" s="62" t="s">
        <v>44</v>
      </c>
      <c r="L36" s="63" t="str">
        <f t="shared" si="0"/>
        <v>Oct-2016</v>
      </c>
      <c r="M36" s="29">
        <f t="shared" si="1"/>
        <v>42644</v>
      </c>
    </row>
    <row r="37" spans="1:13" ht="21" x14ac:dyDescent="0.35">
      <c r="A37" s="8">
        <v>2016</v>
      </c>
      <c r="B37" s="9">
        <v>12</v>
      </c>
      <c r="C37" s="17" t="s">
        <v>124</v>
      </c>
      <c r="D37" s="64" t="s">
        <v>65</v>
      </c>
      <c r="E37" s="9">
        <v>10.899999619999999</v>
      </c>
      <c r="F37" s="9">
        <v>1</v>
      </c>
      <c r="G37" s="9">
        <v>10.9</v>
      </c>
      <c r="H37" s="9">
        <v>5</v>
      </c>
      <c r="I37" s="9">
        <v>0</v>
      </c>
      <c r="J37" s="9">
        <v>0</v>
      </c>
      <c r="K37" s="62" t="s">
        <v>44</v>
      </c>
      <c r="L37" s="63" t="str">
        <f t="shared" si="0"/>
        <v>Dec-2016</v>
      </c>
      <c r="M37" s="29">
        <f t="shared" si="1"/>
        <v>42705</v>
      </c>
    </row>
    <row r="38" spans="1:13" ht="21" x14ac:dyDescent="0.35">
      <c r="A38" s="8">
        <v>2017</v>
      </c>
      <c r="B38" s="9">
        <v>1</v>
      </c>
      <c r="C38" s="17" t="s">
        <v>42</v>
      </c>
      <c r="D38" s="64" t="s">
        <v>45</v>
      </c>
      <c r="E38" s="9">
        <v>13521.30998</v>
      </c>
      <c r="F38" s="9">
        <v>137</v>
      </c>
      <c r="G38" s="9">
        <v>98.7</v>
      </c>
      <c r="H38" s="9">
        <v>3.945255</v>
      </c>
      <c r="I38" s="9">
        <v>0</v>
      </c>
      <c r="J38" s="9">
        <v>0</v>
      </c>
      <c r="K38" s="62" t="s">
        <v>44</v>
      </c>
      <c r="L38" s="63" t="str">
        <f t="shared" si="0"/>
        <v>Jan-2017</v>
      </c>
      <c r="M38" s="29">
        <f t="shared" si="1"/>
        <v>42736</v>
      </c>
    </row>
    <row r="39" spans="1:13" ht="21" x14ac:dyDescent="0.35">
      <c r="A39" s="8">
        <v>2017</v>
      </c>
      <c r="B39" s="9">
        <v>1</v>
      </c>
      <c r="C39" s="17" t="s">
        <v>47</v>
      </c>
      <c r="D39" s="64" t="s">
        <v>43</v>
      </c>
      <c r="E39" s="9">
        <v>12561.31999</v>
      </c>
      <c r="F39" s="9">
        <v>82</v>
      </c>
      <c r="G39" s="9">
        <v>153.19</v>
      </c>
      <c r="H39" s="9">
        <v>4.0875000000000004</v>
      </c>
      <c r="I39" s="9">
        <v>0</v>
      </c>
      <c r="J39" s="9">
        <v>0</v>
      </c>
      <c r="K39" s="62" t="s">
        <v>44</v>
      </c>
      <c r="L39" s="63" t="str">
        <f t="shared" si="0"/>
        <v>Jan-2017</v>
      </c>
      <c r="M39" s="29">
        <f t="shared" si="1"/>
        <v>42736</v>
      </c>
    </row>
    <row r="40" spans="1:13" ht="21" x14ac:dyDescent="0.35">
      <c r="A40" s="8">
        <v>2017</v>
      </c>
      <c r="B40" s="9">
        <v>1</v>
      </c>
      <c r="C40" s="17" t="s">
        <v>125</v>
      </c>
      <c r="D40" s="64" t="s">
        <v>52</v>
      </c>
      <c r="E40" s="9">
        <v>9717.6199739999993</v>
      </c>
      <c r="F40" s="9">
        <v>62</v>
      </c>
      <c r="G40" s="9">
        <v>156.74</v>
      </c>
      <c r="H40" s="9">
        <v>4.0819669999999997</v>
      </c>
      <c r="I40" s="9">
        <v>0</v>
      </c>
      <c r="J40" s="9">
        <v>0</v>
      </c>
      <c r="K40" s="62" t="s">
        <v>44</v>
      </c>
      <c r="L40" s="63" t="str">
        <f t="shared" si="0"/>
        <v>Jan-2017</v>
      </c>
      <c r="M40" s="29">
        <f t="shared" si="1"/>
        <v>42736</v>
      </c>
    </row>
    <row r="41" spans="1:13" ht="21" x14ac:dyDescent="0.35">
      <c r="A41" s="8">
        <v>2017</v>
      </c>
      <c r="B41" s="9">
        <v>1</v>
      </c>
      <c r="C41" s="17" t="s">
        <v>76</v>
      </c>
      <c r="D41" s="64" t="s">
        <v>57</v>
      </c>
      <c r="E41" s="9">
        <v>8152.7500289999998</v>
      </c>
      <c r="F41" s="9">
        <v>40</v>
      </c>
      <c r="G41" s="9">
        <v>203.82</v>
      </c>
      <c r="H41" s="9">
        <v>3.4249999999999998</v>
      </c>
      <c r="I41" s="9">
        <v>0</v>
      </c>
      <c r="J41" s="9">
        <v>0</v>
      </c>
      <c r="K41" s="62" t="s">
        <v>44</v>
      </c>
      <c r="L41" s="63" t="str">
        <f t="shared" si="0"/>
        <v>Jan-2017</v>
      </c>
      <c r="M41" s="29">
        <f t="shared" si="1"/>
        <v>42736</v>
      </c>
    </row>
    <row r="42" spans="1:13" ht="21" x14ac:dyDescent="0.35">
      <c r="A42" s="8">
        <v>2017</v>
      </c>
      <c r="B42" s="9">
        <v>1</v>
      </c>
      <c r="C42" s="17" t="s">
        <v>77</v>
      </c>
      <c r="D42" s="64" t="s">
        <v>51</v>
      </c>
      <c r="E42" s="9">
        <v>8086.5199890000004</v>
      </c>
      <c r="F42" s="9">
        <v>11</v>
      </c>
      <c r="G42" s="9">
        <v>735.14</v>
      </c>
      <c r="H42" s="9">
        <v>4</v>
      </c>
      <c r="I42" s="9">
        <v>0</v>
      </c>
      <c r="J42" s="9">
        <v>0</v>
      </c>
      <c r="K42" s="62" t="s">
        <v>44</v>
      </c>
      <c r="L42" s="63" t="str">
        <f t="shared" si="0"/>
        <v>Jan-2017</v>
      </c>
      <c r="M42" s="29">
        <f t="shared" si="1"/>
        <v>42736</v>
      </c>
    </row>
    <row r="43" spans="1:13" ht="21" x14ac:dyDescent="0.35">
      <c r="A43" s="8">
        <v>2017</v>
      </c>
      <c r="B43" s="9">
        <v>1</v>
      </c>
      <c r="C43" s="17" t="s">
        <v>94</v>
      </c>
      <c r="D43" s="64" t="s">
        <v>62</v>
      </c>
      <c r="E43" s="9">
        <v>7784.8700280000003</v>
      </c>
      <c r="F43" s="9">
        <v>32</v>
      </c>
      <c r="G43" s="9">
        <v>243.28</v>
      </c>
      <c r="H43" s="9">
        <v>3.875</v>
      </c>
      <c r="I43" s="9">
        <v>0</v>
      </c>
      <c r="J43" s="9">
        <v>0</v>
      </c>
      <c r="K43" s="62" t="s">
        <v>44</v>
      </c>
      <c r="L43" s="63" t="str">
        <f t="shared" si="0"/>
        <v>Jan-2017</v>
      </c>
      <c r="M43" s="29">
        <f t="shared" si="1"/>
        <v>42736</v>
      </c>
    </row>
    <row r="44" spans="1:13" ht="21" x14ac:dyDescent="0.35">
      <c r="A44" s="8">
        <v>2017</v>
      </c>
      <c r="B44" s="9">
        <v>1</v>
      </c>
      <c r="C44" s="17" t="s">
        <v>103</v>
      </c>
      <c r="D44" s="64" t="s">
        <v>55</v>
      </c>
      <c r="E44" s="9">
        <v>6397.8700120000003</v>
      </c>
      <c r="F44" s="9">
        <v>32</v>
      </c>
      <c r="G44" s="9">
        <v>199.93</v>
      </c>
      <c r="H44" s="9">
        <v>4.548387</v>
      </c>
      <c r="I44" s="9">
        <v>0</v>
      </c>
      <c r="J44" s="9">
        <v>0</v>
      </c>
      <c r="K44" s="62" t="s">
        <v>44</v>
      </c>
      <c r="L44" s="63" t="str">
        <f t="shared" si="0"/>
        <v>Jan-2017</v>
      </c>
      <c r="M44" s="29">
        <f t="shared" si="1"/>
        <v>42736</v>
      </c>
    </row>
    <row r="45" spans="1:13" ht="21" x14ac:dyDescent="0.35">
      <c r="A45" s="8">
        <v>2017</v>
      </c>
      <c r="B45" s="9">
        <v>1</v>
      </c>
      <c r="C45" s="17" t="s">
        <v>109</v>
      </c>
      <c r="D45" s="64" t="s">
        <v>50</v>
      </c>
      <c r="E45" s="9">
        <v>5954.2000099999996</v>
      </c>
      <c r="F45" s="9">
        <v>21</v>
      </c>
      <c r="G45" s="9">
        <v>283.52999999999997</v>
      </c>
      <c r="H45" s="9">
        <v>4.0999999999999996</v>
      </c>
      <c r="I45" s="9">
        <v>0</v>
      </c>
      <c r="J45" s="9">
        <v>0</v>
      </c>
      <c r="K45" s="62" t="s">
        <v>44</v>
      </c>
      <c r="L45" s="63" t="str">
        <f t="shared" si="0"/>
        <v>Jan-2017</v>
      </c>
      <c r="M45" s="29">
        <f t="shared" si="1"/>
        <v>42736</v>
      </c>
    </row>
    <row r="46" spans="1:13" ht="21" x14ac:dyDescent="0.35">
      <c r="A46" s="8">
        <v>2017</v>
      </c>
      <c r="B46" s="9">
        <v>1</v>
      </c>
      <c r="C46" s="17" t="s">
        <v>115</v>
      </c>
      <c r="D46" s="64" t="s">
        <v>53</v>
      </c>
      <c r="E46" s="9">
        <v>5218.5299359999999</v>
      </c>
      <c r="F46" s="9">
        <v>30</v>
      </c>
      <c r="G46" s="9">
        <v>173.95</v>
      </c>
      <c r="H46" s="9">
        <v>3.466666</v>
      </c>
      <c r="I46" s="9">
        <v>1</v>
      </c>
      <c r="J46" s="9">
        <v>3.33</v>
      </c>
      <c r="K46" s="62" t="s">
        <v>44</v>
      </c>
      <c r="L46" s="63" t="str">
        <f t="shared" si="0"/>
        <v>Jan-2017</v>
      </c>
      <c r="M46" s="29">
        <f t="shared" si="1"/>
        <v>42736</v>
      </c>
    </row>
    <row r="47" spans="1:13" ht="21" x14ac:dyDescent="0.35">
      <c r="A47" s="8">
        <v>2017</v>
      </c>
      <c r="B47" s="9">
        <v>1</v>
      </c>
      <c r="C47" s="17" t="s">
        <v>118</v>
      </c>
      <c r="D47" s="64" t="s">
        <v>48</v>
      </c>
      <c r="E47" s="9">
        <v>5112.5999430000002</v>
      </c>
      <c r="F47" s="9">
        <v>29</v>
      </c>
      <c r="G47" s="9">
        <v>176.3</v>
      </c>
      <c r="H47" s="9">
        <v>4.7857139999999996</v>
      </c>
      <c r="I47" s="9">
        <v>0</v>
      </c>
      <c r="J47" s="9">
        <v>0</v>
      </c>
      <c r="K47" s="62" t="s">
        <v>44</v>
      </c>
      <c r="L47" s="63" t="str">
        <f t="shared" si="0"/>
        <v>Jan-2017</v>
      </c>
      <c r="M47" s="29">
        <f t="shared" si="1"/>
        <v>42736</v>
      </c>
    </row>
    <row r="48" spans="1:13" ht="21" x14ac:dyDescent="0.35">
      <c r="A48" s="8">
        <v>2017</v>
      </c>
      <c r="B48" s="9">
        <v>1</v>
      </c>
      <c r="C48" s="17" t="s">
        <v>120</v>
      </c>
      <c r="D48" s="64" t="s">
        <v>49</v>
      </c>
      <c r="E48" s="9">
        <v>4814.0899980000004</v>
      </c>
      <c r="F48" s="9">
        <v>43</v>
      </c>
      <c r="G48" s="9">
        <v>111.96</v>
      </c>
      <c r="H48" s="9">
        <v>4.2558129999999998</v>
      </c>
      <c r="I48" s="9">
        <v>1</v>
      </c>
      <c r="J48" s="9">
        <v>2.33</v>
      </c>
      <c r="K48" s="62" t="s">
        <v>44</v>
      </c>
      <c r="L48" s="63" t="str">
        <f t="shared" si="0"/>
        <v>Jan-2017</v>
      </c>
      <c r="M48" s="29">
        <f t="shared" si="1"/>
        <v>42736</v>
      </c>
    </row>
    <row r="49" spans="1:13" ht="21" x14ac:dyDescent="0.35">
      <c r="A49" s="8">
        <v>2017</v>
      </c>
      <c r="B49" s="9">
        <v>1</v>
      </c>
      <c r="C49" s="17" t="s">
        <v>124</v>
      </c>
      <c r="D49" s="64" t="s">
        <v>66</v>
      </c>
      <c r="E49" s="9">
        <v>3960.160034</v>
      </c>
      <c r="F49" s="9">
        <v>45</v>
      </c>
      <c r="G49" s="9">
        <v>88</v>
      </c>
      <c r="H49" s="9">
        <v>4.1555549999999997</v>
      </c>
      <c r="I49" s="9">
        <v>0</v>
      </c>
      <c r="J49" s="9">
        <v>0</v>
      </c>
      <c r="K49" s="62" t="s">
        <v>44</v>
      </c>
      <c r="L49" s="63" t="str">
        <f t="shared" si="0"/>
        <v>Jan-2017</v>
      </c>
      <c r="M49" s="29">
        <f t="shared" si="1"/>
        <v>42736</v>
      </c>
    </row>
    <row r="50" spans="1:13" ht="21" x14ac:dyDescent="0.35">
      <c r="A50" s="8">
        <v>2017</v>
      </c>
      <c r="B50" s="9">
        <v>1</v>
      </c>
      <c r="C50" s="17" t="s">
        <v>42</v>
      </c>
      <c r="D50" s="64" t="s">
        <v>56</v>
      </c>
      <c r="E50" s="9">
        <v>3924.1399860000001</v>
      </c>
      <c r="F50" s="9">
        <v>24</v>
      </c>
      <c r="G50" s="9">
        <v>163.51</v>
      </c>
      <c r="H50" s="9">
        <v>4.25</v>
      </c>
      <c r="I50" s="9">
        <v>0</v>
      </c>
      <c r="J50" s="9">
        <v>0</v>
      </c>
      <c r="K50" s="62" t="s">
        <v>44</v>
      </c>
      <c r="L50" s="63" t="str">
        <f t="shared" si="0"/>
        <v>Jan-2017</v>
      </c>
      <c r="M50" s="29">
        <f t="shared" si="1"/>
        <v>42736</v>
      </c>
    </row>
    <row r="51" spans="1:13" ht="21" x14ac:dyDescent="0.35">
      <c r="A51" s="8">
        <v>2017</v>
      </c>
      <c r="B51" s="9">
        <v>1</v>
      </c>
      <c r="C51" s="17" t="s">
        <v>47</v>
      </c>
      <c r="D51" s="64" t="s">
        <v>46</v>
      </c>
      <c r="E51" s="9">
        <v>2945.859989</v>
      </c>
      <c r="F51" s="9">
        <v>21</v>
      </c>
      <c r="G51" s="9">
        <v>140.28</v>
      </c>
      <c r="H51" s="9">
        <v>3.9523799999999998</v>
      </c>
      <c r="I51" s="9">
        <v>0</v>
      </c>
      <c r="J51" s="9">
        <v>0</v>
      </c>
      <c r="K51" s="62" t="s">
        <v>44</v>
      </c>
      <c r="L51" s="63" t="str">
        <f t="shared" si="0"/>
        <v>Jan-2017</v>
      </c>
      <c r="M51" s="29">
        <f t="shared" si="1"/>
        <v>42736</v>
      </c>
    </row>
    <row r="52" spans="1:13" ht="21" x14ac:dyDescent="0.35">
      <c r="A52" s="8">
        <v>2017</v>
      </c>
      <c r="B52" s="9">
        <v>1</v>
      </c>
      <c r="C52" s="17" t="s">
        <v>125</v>
      </c>
      <c r="D52" s="64" t="s">
        <v>61</v>
      </c>
      <c r="E52" s="9">
        <v>2827.5799900000002</v>
      </c>
      <c r="F52" s="9">
        <v>21</v>
      </c>
      <c r="G52" s="9">
        <v>134.65</v>
      </c>
      <c r="H52" s="9">
        <v>4.3333329999999997</v>
      </c>
      <c r="I52" s="9">
        <v>0</v>
      </c>
      <c r="J52" s="9">
        <v>0</v>
      </c>
      <c r="K52" s="62" t="s">
        <v>44</v>
      </c>
      <c r="L52" s="63" t="str">
        <f t="shared" si="0"/>
        <v>Jan-2017</v>
      </c>
      <c r="M52" s="29">
        <f t="shared" si="1"/>
        <v>42736</v>
      </c>
    </row>
    <row r="53" spans="1:13" ht="21" x14ac:dyDescent="0.35">
      <c r="A53" s="8">
        <v>2017</v>
      </c>
      <c r="B53" s="9">
        <v>1</v>
      </c>
      <c r="C53" s="17" t="s">
        <v>76</v>
      </c>
      <c r="D53" s="64" t="s">
        <v>78</v>
      </c>
      <c r="E53" s="9">
        <v>2199.98999</v>
      </c>
      <c r="F53" s="9">
        <v>1</v>
      </c>
      <c r="G53" s="9">
        <v>2199.9899999999998</v>
      </c>
      <c r="H53" s="9">
        <v>4</v>
      </c>
      <c r="I53" s="9">
        <v>0</v>
      </c>
      <c r="J53" s="9">
        <v>0</v>
      </c>
      <c r="K53" s="62" t="s">
        <v>44</v>
      </c>
      <c r="L53" s="63" t="str">
        <f t="shared" si="0"/>
        <v>Jan-2017</v>
      </c>
      <c r="M53" s="29">
        <f t="shared" si="1"/>
        <v>42736</v>
      </c>
    </row>
    <row r="54" spans="1:13" ht="21" x14ac:dyDescent="0.35">
      <c r="A54" s="8">
        <v>2017</v>
      </c>
      <c r="B54" s="9">
        <v>1</v>
      </c>
      <c r="C54" s="17" t="s">
        <v>77</v>
      </c>
      <c r="D54" s="64" t="s">
        <v>79</v>
      </c>
      <c r="E54" s="9">
        <v>2126.6799810000002</v>
      </c>
      <c r="F54" s="9">
        <v>7</v>
      </c>
      <c r="G54" s="9">
        <v>303.81</v>
      </c>
      <c r="H54" s="9">
        <v>4.6666660000000002</v>
      </c>
      <c r="I54" s="9">
        <v>0</v>
      </c>
      <c r="J54" s="9">
        <v>0</v>
      </c>
      <c r="K54" s="62" t="s">
        <v>44</v>
      </c>
      <c r="L54" s="63" t="str">
        <f t="shared" si="0"/>
        <v>Jan-2017</v>
      </c>
      <c r="M54" s="29">
        <f t="shared" si="1"/>
        <v>42736</v>
      </c>
    </row>
    <row r="55" spans="1:13" ht="21" x14ac:dyDescent="0.35">
      <c r="A55" s="8">
        <v>2017</v>
      </c>
      <c r="B55" s="9">
        <v>1</v>
      </c>
      <c r="C55" s="17" t="s">
        <v>94</v>
      </c>
      <c r="D55" s="64" t="s">
        <v>0</v>
      </c>
      <c r="E55" s="9">
        <v>1702.639977</v>
      </c>
      <c r="F55" s="9">
        <v>11</v>
      </c>
      <c r="G55" s="9">
        <v>154.79</v>
      </c>
      <c r="H55" s="9" t="s">
        <v>0</v>
      </c>
      <c r="I55" s="9" t="s">
        <v>0</v>
      </c>
      <c r="J55" s="9" t="s">
        <v>0</v>
      </c>
      <c r="K55" s="62" t="s">
        <v>44</v>
      </c>
      <c r="L55" s="63" t="str">
        <f t="shared" si="0"/>
        <v>Jan-2017</v>
      </c>
      <c r="M55" s="29">
        <f t="shared" si="1"/>
        <v>42736</v>
      </c>
    </row>
    <row r="56" spans="1:13" ht="21" x14ac:dyDescent="0.35">
      <c r="A56" s="8">
        <v>2017</v>
      </c>
      <c r="B56" s="9">
        <v>1</v>
      </c>
      <c r="C56" s="17" t="s">
        <v>103</v>
      </c>
      <c r="D56" s="64" t="s">
        <v>65</v>
      </c>
      <c r="E56" s="9">
        <v>1671.970016</v>
      </c>
      <c r="F56" s="9">
        <v>30</v>
      </c>
      <c r="G56" s="9">
        <v>55.73</v>
      </c>
      <c r="H56" s="9">
        <v>4.3103439999999997</v>
      </c>
      <c r="I56" s="9">
        <v>0</v>
      </c>
      <c r="J56" s="9">
        <v>0</v>
      </c>
      <c r="K56" s="62" t="s">
        <v>44</v>
      </c>
      <c r="L56" s="63" t="str">
        <f t="shared" si="0"/>
        <v>Jan-2017</v>
      </c>
      <c r="M56" s="29">
        <f t="shared" si="1"/>
        <v>42736</v>
      </c>
    </row>
    <row r="57" spans="1:13" ht="21" x14ac:dyDescent="0.35">
      <c r="A57" s="8">
        <v>2017</v>
      </c>
      <c r="B57" s="9">
        <v>1</v>
      </c>
      <c r="C57" s="17" t="s">
        <v>109</v>
      </c>
      <c r="D57" s="64" t="s">
        <v>80</v>
      </c>
      <c r="E57" s="9">
        <v>1660.7900010000001</v>
      </c>
      <c r="F57" s="9">
        <v>6</v>
      </c>
      <c r="G57" s="9">
        <v>276.8</v>
      </c>
      <c r="H57" s="9">
        <v>4.6666660000000002</v>
      </c>
      <c r="I57" s="9">
        <v>0</v>
      </c>
      <c r="J57" s="9">
        <v>0</v>
      </c>
      <c r="K57" s="62" t="s">
        <v>44</v>
      </c>
      <c r="L57" s="63" t="str">
        <f t="shared" si="0"/>
        <v>Jan-2017</v>
      </c>
      <c r="M57" s="29">
        <f t="shared" si="1"/>
        <v>42736</v>
      </c>
    </row>
    <row r="58" spans="1:13" ht="21" x14ac:dyDescent="0.35">
      <c r="A58" s="8">
        <v>2017</v>
      </c>
      <c r="B58" s="9">
        <v>1</v>
      </c>
      <c r="C58" s="17" t="s">
        <v>115</v>
      </c>
      <c r="D58" s="64" t="s">
        <v>81</v>
      </c>
      <c r="E58" s="9">
        <v>1561.989988</v>
      </c>
      <c r="F58" s="9">
        <v>7</v>
      </c>
      <c r="G58" s="9">
        <v>223.14</v>
      </c>
      <c r="H58" s="9">
        <v>4.571428</v>
      </c>
      <c r="I58" s="9">
        <v>0</v>
      </c>
      <c r="J58" s="9">
        <v>0</v>
      </c>
      <c r="K58" s="62" t="s">
        <v>44</v>
      </c>
      <c r="L58" s="63" t="str">
        <f t="shared" si="0"/>
        <v>Jan-2017</v>
      </c>
      <c r="M58" s="29">
        <f t="shared" si="1"/>
        <v>42736</v>
      </c>
    </row>
    <row r="59" spans="1:13" ht="21" x14ac:dyDescent="0.35">
      <c r="A59" s="8">
        <v>2017</v>
      </c>
      <c r="B59" s="9">
        <v>1</v>
      </c>
      <c r="C59" s="17" t="s">
        <v>118</v>
      </c>
      <c r="D59" s="64" t="s">
        <v>60</v>
      </c>
      <c r="E59" s="9">
        <v>1444.349991</v>
      </c>
      <c r="F59" s="9">
        <v>7</v>
      </c>
      <c r="G59" s="9">
        <v>206.34</v>
      </c>
      <c r="H59" s="9">
        <v>2.4285709999999998</v>
      </c>
      <c r="I59" s="9">
        <v>0</v>
      </c>
      <c r="J59" s="9">
        <v>0</v>
      </c>
      <c r="K59" s="62" t="s">
        <v>44</v>
      </c>
      <c r="L59" s="63" t="str">
        <f t="shared" si="0"/>
        <v>Jan-2017</v>
      </c>
      <c r="M59" s="29">
        <f t="shared" si="1"/>
        <v>42736</v>
      </c>
    </row>
    <row r="60" spans="1:13" ht="21" x14ac:dyDescent="0.35">
      <c r="A60" s="8">
        <v>2017</v>
      </c>
      <c r="B60" s="9">
        <v>1</v>
      </c>
      <c r="C60" s="17" t="s">
        <v>120</v>
      </c>
      <c r="D60" s="64" t="s">
        <v>82</v>
      </c>
      <c r="E60" s="9">
        <v>1241.8999940000001</v>
      </c>
      <c r="F60" s="9">
        <v>8</v>
      </c>
      <c r="G60" s="9">
        <v>155.24</v>
      </c>
      <c r="H60" s="9">
        <v>4.75</v>
      </c>
      <c r="I60" s="9">
        <v>0</v>
      </c>
      <c r="J60" s="9">
        <v>0</v>
      </c>
      <c r="K60" s="62" t="s">
        <v>44</v>
      </c>
      <c r="L60" s="63" t="str">
        <f t="shared" si="0"/>
        <v>Jan-2017</v>
      </c>
      <c r="M60" s="29">
        <f t="shared" si="1"/>
        <v>42736</v>
      </c>
    </row>
    <row r="61" spans="1:13" ht="21" x14ac:dyDescent="0.35">
      <c r="A61" s="8">
        <v>2017</v>
      </c>
      <c r="B61" s="9">
        <v>1</v>
      </c>
      <c r="C61" s="17" t="s">
        <v>124</v>
      </c>
      <c r="D61" s="64" t="s">
        <v>64</v>
      </c>
      <c r="E61" s="9">
        <v>967.11999270000001</v>
      </c>
      <c r="F61" s="9">
        <v>13</v>
      </c>
      <c r="G61" s="9">
        <v>74.39</v>
      </c>
      <c r="H61" s="9">
        <v>4.3846150000000002</v>
      </c>
      <c r="I61" s="9">
        <v>0</v>
      </c>
      <c r="J61" s="9">
        <v>0</v>
      </c>
      <c r="K61" s="62" t="s">
        <v>44</v>
      </c>
      <c r="L61" s="63" t="str">
        <f t="shared" si="0"/>
        <v>Jan-2017</v>
      </c>
      <c r="M61" s="29">
        <f t="shared" si="1"/>
        <v>42736</v>
      </c>
    </row>
    <row r="62" spans="1:13" ht="21" x14ac:dyDescent="0.35">
      <c r="A62" s="8">
        <v>2017</v>
      </c>
      <c r="B62" s="9">
        <v>1</v>
      </c>
      <c r="C62" s="17" t="s">
        <v>42</v>
      </c>
      <c r="D62" s="64" t="s">
        <v>63</v>
      </c>
      <c r="E62" s="9">
        <v>677.12001129999999</v>
      </c>
      <c r="F62" s="9">
        <v>19</v>
      </c>
      <c r="G62" s="9">
        <v>35.64</v>
      </c>
      <c r="H62" s="9">
        <v>4.4117639999999998</v>
      </c>
      <c r="I62" s="9">
        <v>0</v>
      </c>
      <c r="J62" s="9">
        <v>0</v>
      </c>
      <c r="K62" s="62" t="s">
        <v>44</v>
      </c>
      <c r="L62" s="63" t="str">
        <f t="shared" si="0"/>
        <v>Jan-2017</v>
      </c>
      <c r="M62" s="29">
        <f t="shared" si="1"/>
        <v>42736</v>
      </c>
    </row>
    <row r="63" spans="1:13" ht="21" x14ac:dyDescent="0.35">
      <c r="A63" s="8">
        <v>2017</v>
      </c>
      <c r="B63" s="9">
        <v>1</v>
      </c>
      <c r="C63" s="17" t="s">
        <v>47</v>
      </c>
      <c r="D63" s="64" t="s">
        <v>54</v>
      </c>
      <c r="E63" s="9">
        <v>663.69998169999997</v>
      </c>
      <c r="F63" s="9">
        <v>3</v>
      </c>
      <c r="G63" s="9">
        <v>221.23</v>
      </c>
      <c r="H63" s="9">
        <v>3</v>
      </c>
      <c r="I63" s="9">
        <v>0</v>
      </c>
      <c r="J63" s="9">
        <v>0</v>
      </c>
      <c r="K63" s="62" t="s">
        <v>44</v>
      </c>
      <c r="L63" s="63" t="str">
        <f t="shared" si="0"/>
        <v>Jan-2017</v>
      </c>
      <c r="M63" s="29">
        <f t="shared" si="1"/>
        <v>42736</v>
      </c>
    </row>
    <row r="64" spans="1:13" ht="21" x14ac:dyDescent="0.35">
      <c r="A64" s="8">
        <v>2017</v>
      </c>
      <c r="B64" s="9">
        <v>1</v>
      </c>
      <c r="C64" s="17" t="s">
        <v>125</v>
      </c>
      <c r="D64" s="64" t="s">
        <v>58</v>
      </c>
      <c r="E64" s="9">
        <v>617</v>
      </c>
      <c r="F64" s="9">
        <v>11</v>
      </c>
      <c r="G64" s="9">
        <v>56.09</v>
      </c>
      <c r="H64" s="9">
        <v>3.818181</v>
      </c>
      <c r="I64" s="9">
        <v>0</v>
      </c>
      <c r="J64" s="9">
        <v>0</v>
      </c>
      <c r="K64" s="62" t="s">
        <v>44</v>
      </c>
      <c r="L64" s="63" t="str">
        <f t="shared" si="0"/>
        <v>Jan-2017</v>
      </c>
      <c r="M64" s="29">
        <f t="shared" si="1"/>
        <v>42736</v>
      </c>
    </row>
    <row r="65" spans="1:13" ht="21" x14ac:dyDescent="0.35">
      <c r="A65" s="8">
        <v>2017</v>
      </c>
      <c r="B65" s="9">
        <v>1</v>
      </c>
      <c r="C65" s="17" t="s">
        <v>76</v>
      </c>
      <c r="D65" s="64" t="s">
        <v>83</v>
      </c>
      <c r="E65" s="9">
        <v>492.5</v>
      </c>
      <c r="F65" s="9">
        <v>4</v>
      </c>
      <c r="G65" s="9">
        <v>123.13</v>
      </c>
      <c r="H65" s="9">
        <v>4.75</v>
      </c>
      <c r="I65" s="9">
        <v>0</v>
      </c>
      <c r="J65" s="9">
        <v>0</v>
      </c>
      <c r="K65" s="62" t="s">
        <v>44</v>
      </c>
      <c r="L65" s="63" t="str">
        <f t="shared" si="0"/>
        <v>Jan-2017</v>
      </c>
      <c r="M65" s="29">
        <f t="shared" si="1"/>
        <v>42736</v>
      </c>
    </row>
    <row r="66" spans="1:13" ht="21" x14ac:dyDescent="0.35">
      <c r="A66" s="8">
        <v>2017</v>
      </c>
      <c r="B66" s="9">
        <v>1</v>
      </c>
      <c r="C66" s="17" t="s">
        <v>77</v>
      </c>
      <c r="D66" s="64" t="s">
        <v>59</v>
      </c>
      <c r="E66" s="9">
        <v>447.0400085</v>
      </c>
      <c r="F66" s="9">
        <v>6</v>
      </c>
      <c r="G66" s="9">
        <v>74.510000000000005</v>
      </c>
      <c r="H66" s="9">
        <v>3.6666660000000002</v>
      </c>
      <c r="I66" s="9">
        <v>0</v>
      </c>
      <c r="J66" s="9">
        <v>0</v>
      </c>
      <c r="K66" s="62" t="s">
        <v>44</v>
      </c>
      <c r="L66" s="63" t="str">
        <f t="shared" ref="L66:L129" si="2">TEXT(DATE(A66,B66,1),"mmm-yyyy")</f>
        <v>Jan-2017</v>
      </c>
      <c r="M66" s="29">
        <f t="shared" ref="M66:M129" si="3">DATE(A66,B66,1)</f>
        <v>42736</v>
      </c>
    </row>
    <row r="67" spans="1:13" ht="21" x14ac:dyDescent="0.35">
      <c r="A67" s="8">
        <v>2017</v>
      </c>
      <c r="B67" s="9">
        <v>1</v>
      </c>
      <c r="C67" s="17" t="s">
        <v>94</v>
      </c>
      <c r="D67" s="64" t="s">
        <v>84</v>
      </c>
      <c r="E67" s="9">
        <v>339.73999020000002</v>
      </c>
      <c r="F67" s="9">
        <v>1</v>
      </c>
      <c r="G67" s="9">
        <v>339.74</v>
      </c>
      <c r="H67" s="9">
        <v>4</v>
      </c>
      <c r="I67" s="9">
        <v>0</v>
      </c>
      <c r="J67" s="9">
        <v>0</v>
      </c>
      <c r="K67" s="62" t="s">
        <v>44</v>
      </c>
      <c r="L67" s="63" t="str">
        <f t="shared" si="2"/>
        <v>Jan-2017</v>
      </c>
      <c r="M67" s="29">
        <f t="shared" si="3"/>
        <v>42736</v>
      </c>
    </row>
    <row r="68" spans="1:13" ht="21" x14ac:dyDescent="0.35">
      <c r="A68" s="8">
        <v>2017</v>
      </c>
      <c r="B68" s="9">
        <v>1</v>
      </c>
      <c r="C68" s="17" t="s">
        <v>103</v>
      </c>
      <c r="D68" s="64" t="s">
        <v>85</v>
      </c>
      <c r="E68" s="9">
        <v>310</v>
      </c>
      <c r="F68" s="9">
        <v>1</v>
      </c>
      <c r="G68" s="9">
        <v>310</v>
      </c>
      <c r="H68" s="9">
        <v>1</v>
      </c>
      <c r="I68" s="9">
        <v>0</v>
      </c>
      <c r="J68" s="9">
        <v>0</v>
      </c>
      <c r="K68" s="62" t="s">
        <v>44</v>
      </c>
      <c r="L68" s="63" t="str">
        <f t="shared" si="2"/>
        <v>Jan-2017</v>
      </c>
      <c r="M68" s="29">
        <f t="shared" si="3"/>
        <v>42736</v>
      </c>
    </row>
    <row r="69" spans="1:13" ht="21" x14ac:dyDescent="0.35">
      <c r="A69" s="8">
        <v>2017</v>
      </c>
      <c r="B69" s="9">
        <v>1</v>
      </c>
      <c r="C69" s="17" t="s">
        <v>109</v>
      </c>
      <c r="D69" s="64" t="s">
        <v>71</v>
      </c>
      <c r="E69" s="9">
        <v>234.88999939999999</v>
      </c>
      <c r="F69" s="9">
        <v>2</v>
      </c>
      <c r="G69" s="9">
        <v>117.44</v>
      </c>
      <c r="H69" s="9">
        <v>5</v>
      </c>
      <c r="I69" s="9">
        <v>0</v>
      </c>
      <c r="J69" s="9">
        <v>0</v>
      </c>
      <c r="K69" s="62" t="s">
        <v>44</v>
      </c>
      <c r="L69" s="63" t="str">
        <f t="shared" si="2"/>
        <v>Jan-2017</v>
      </c>
      <c r="M69" s="29">
        <f t="shared" si="3"/>
        <v>42736</v>
      </c>
    </row>
    <row r="70" spans="1:13" ht="21" x14ac:dyDescent="0.35">
      <c r="A70" s="8">
        <v>2017</v>
      </c>
      <c r="B70" s="9">
        <v>1</v>
      </c>
      <c r="C70" s="17" t="s">
        <v>115</v>
      </c>
      <c r="D70" s="64" t="s">
        <v>86</v>
      </c>
      <c r="E70" s="9">
        <v>183.28999329999999</v>
      </c>
      <c r="F70" s="9">
        <v>1</v>
      </c>
      <c r="G70" s="9">
        <v>183.29</v>
      </c>
      <c r="H70" s="9">
        <v>4</v>
      </c>
      <c r="I70" s="9">
        <v>0</v>
      </c>
      <c r="J70" s="9">
        <v>0</v>
      </c>
      <c r="K70" s="62" t="s">
        <v>44</v>
      </c>
      <c r="L70" s="63" t="str">
        <f t="shared" si="2"/>
        <v>Jan-2017</v>
      </c>
      <c r="M70" s="29">
        <f t="shared" si="3"/>
        <v>42736</v>
      </c>
    </row>
    <row r="71" spans="1:13" ht="21" x14ac:dyDescent="0.35">
      <c r="A71" s="8">
        <v>2017</v>
      </c>
      <c r="B71" s="9">
        <v>1</v>
      </c>
      <c r="C71" s="17" t="s">
        <v>118</v>
      </c>
      <c r="D71" s="64" t="s">
        <v>87</v>
      </c>
      <c r="E71" s="9">
        <v>137.25</v>
      </c>
      <c r="F71" s="9">
        <v>2</v>
      </c>
      <c r="G71" s="9">
        <v>68.63</v>
      </c>
      <c r="H71" s="9">
        <v>3</v>
      </c>
      <c r="I71" s="9">
        <v>0</v>
      </c>
      <c r="J71" s="9">
        <v>0</v>
      </c>
      <c r="K71" s="62" t="s">
        <v>44</v>
      </c>
      <c r="L71" s="63" t="str">
        <f t="shared" si="2"/>
        <v>Jan-2017</v>
      </c>
      <c r="M71" s="29">
        <f t="shared" si="3"/>
        <v>42736</v>
      </c>
    </row>
    <row r="72" spans="1:13" ht="21" x14ac:dyDescent="0.35">
      <c r="A72" s="8">
        <v>2017</v>
      </c>
      <c r="B72" s="9">
        <v>1</v>
      </c>
      <c r="C72" s="17" t="s">
        <v>120</v>
      </c>
      <c r="D72" s="64" t="s">
        <v>75</v>
      </c>
      <c r="E72" s="9">
        <v>126.9000015</v>
      </c>
      <c r="F72" s="9">
        <v>1</v>
      </c>
      <c r="G72" s="9">
        <v>126.9</v>
      </c>
      <c r="H72" s="9">
        <v>5</v>
      </c>
      <c r="I72" s="9">
        <v>0</v>
      </c>
      <c r="J72" s="9">
        <v>0</v>
      </c>
      <c r="K72" s="62" t="s">
        <v>44</v>
      </c>
      <c r="L72" s="63" t="str">
        <f t="shared" si="2"/>
        <v>Jan-2017</v>
      </c>
      <c r="M72" s="29">
        <f t="shared" si="3"/>
        <v>42736</v>
      </c>
    </row>
    <row r="73" spans="1:13" ht="21" x14ac:dyDescent="0.35">
      <c r="A73" s="8">
        <v>2017</v>
      </c>
      <c r="B73" s="9">
        <v>1</v>
      </c>
      <c r="C73" s="17" t="s">
        <v>124</v>
      </c>
      <c r="D73" s="64" t="s">
        <v>88</v>
      </c>
      <c r="E73" s="9">
        <v>110</v>
      </c>
      <c r="F73" s="9">
        <v>1</v>
      </c>
      <c r="G73" s="9">
        <v>110</v>
      </c>
      <c r="H73" s="9">
        <v>5</v>
      </c>
      <c r="I73" s="9">
        <v>0</v>
      </c>
      <c r="J73" s="9">
        <v>0</v>
      </c>
      <c r="K73" s="62" t="s">
        <v>44</v>
      </c>
      <c r="L73" s="63" t="str">
        <f t="shared" si="2"/>
        <v>Jan-2017</v>
      </c>
      <c r="M73" s="29">
        <f t="shared" si="3"/>
        <v>42736</v>
      </c>
    </row>
    <row r="74" spans="1:13" ht="21" x14ac:dyDescent="0.35">
      <c r="A74" s="8">
        <v>2017</v>
      </c>
      <c r="B74" s="9">
        <v>1</v>
      </c>
      <c r="C74" s="17" t="s">
        <v>42</v>
      </c>
      <c r="D74" s="64" t="s">
        <v>73</v>
      </c>
      <c r="E74" s="9">
        <v>77.300001140000006</v>
      </c>
      <c r="F74" s="9">
        <v>2</v>
      </c>
      <c r="G74" s="9">
        <v>38.65</v>
      </c>
      <c r="H74" s="9">
        <v>4</v>
      </c>
      <c r="I74" s="9">
        <v>0</v>
      </c>
      <c r="J74" s="9">
        <v>0</v>
      </c>
      <c r="K74" s="62" t="s">
        <v>44</v>
      </c>
      <c r="L74" s="63" t="str">
        <f t="shared" si="2"/>
        <v>Jan-2017</v>
      </c>
      <c r="M74" s="29">
        <f t="shared" si="3"/>
        <v>42736</v>
      </c>
    </row>
    <row r="75" spans="1:13" ht="21" x14ac:dyDescent="0.35">
      <c r="A75" s="8">
        <v>2017</v>
      </c>
      <c r="B75" s="9">
        <v>1</v>
      </c>
      <c r="C75" s="17" t="s">
        <v>47</v>
      </c>
      <c r="D75" s="64" t="s">
        <v>89</v>
      </c>
      <c r="E75" s="9">
        <v>73.1999979</v>
      </c>
      <c r="F75" s="9">
        <v>8</v>
      </c>
      <c r="G75" s="9">
        <v>9.15</v>
      </c>
      <c r="H75" s="9">
        <v>5</v>
      </c>
      <c r="I75" s="9">
        <v>0</v>
      </c>
      <c r="J75" s="9">
        <v>0</v>
      </c>
      <c r="K75" s="62" t="s">
        <v>44</v>
      </c>
      <c r="L75" s="63" t="str">
        <f t="shared" si="2"/>
        <v>Jan-2017</v>
      </c>
      <c r="M75" s="29">
        <f t="shared" si="3"/>
        <v>42736</v>
      </c>
    </row>
    <row r="76" spans="1:13" ht="21" x14ac:dyDescent="0.35">
      <c r="A76" s="8">
        <v>2017</v>
      </c>
      <c r="B76" s="9">
        <v>1</v>
      </c>
      <c r="C76" s="17" t="s">
        <v>125</v>
      </c>
      <c r="D76" s="64" t="s">
        <v>90</v>
      </c>
      <c r="E76" s="9">
        <v>72.800001140000006</v>
      </c>
      <c r="F76" s="9">
        <v>2</v>
      </c>
      <c r="G76" s="9">
        <v>36.4</v>
      </c>
      <c r="H76" s="9">
        <v>4.5</v>
      </c>
      <c r="I76" s="9">
        <v>0</v>
      </c>
      <c r="J76" s="9">
        <v>0</v>
      </c>
      <c r="K76" s="62" t="s">
        <v>44</v>
      </c>
      <c r="L76" s="63" t="str">
        <f t="shared" si="2"/>
        <v>Jan-2017</v>
      </c>
      <c r="M76" s="29">
        <f t="shared" si="3"/>
        <v>42736</v>
      </c>
    </row>
    <row r="77" spans="1:13" ht="21" x14ac:dyDescent="0.35">
      <c r="A77" s="8">
        <v>2017</v>
      </c>
      <c r="B77" s="9">
        <v>1</v>
      </c>
      <c r="C77" s="17" t="s">
        <v>76</v>
      </c>
      <c r="D77" s="64" t="s">
        <v>91</v>
      </c>
      <c r="E77" s="9">
        <v>65.969999310000006</v>
      </c>
      <c r="F77" s="9">
        <v>2</v>
      </c>
      <c r="G77" s="9">
        <v>32.979999999999997</v>
      </c>
      <c r="H77" s="9">
        <v>4.5</v>
      </c>
      <c r="I77" s="9">
        <v>0</v>
      </c>
      <c r="J77" s="9">
        <v>0</v>
      </c>
      <c r="K77" s="62" t="s">
        <v>44</v>
      </c>
      <c r="L77" s="63" t="str">
        <f t="shared" si="2"/>
        <v>Jan-2017</v>
      </c>
      <c r="M77" s="29">
        <f t="shared" si="3"/>
        <v>42736</v>
      </c>
    </row>
    <row r="78" spans="1:13" ht="21" x14ac:dyDescent="0.35">
      <c r="A78" s="8">
        <v>2017</v>
      </c>
      <c r="B78" s="9">
        <v>1</v>
      </c>
      <c r="C78" s="17" t="s">
        <v>77</v>
      </c>
      <c r="D78" s="64" t="s">
        <v>72</v>
      </c>
      <c r="E78" s="9">
        <v>42.819999690000003</v>
      </c>
      <c r="F78" s="9">
        <v>2</v>
      </c>
      <c r="G78" s="9">
        <v>21.41</v>
      </c>
      <c r="H78" s="9">
        <v>5</v>
      </c>
      <c r="I78" s="9">
        <v>0</v>
      </c>
      <c r="J78" s="9">
        <v>0</v>
      </c>
      <c r="K78" s="62" t="s">
        <v>44</v>
      </c>
      <c r="L78" s="63" t="str">
        <f t="shared" si="2"/>
        <v>Jan-2017</v>
      </c>
      <c r="M78" s="29">
        <f t="shared" si="3"/>
        <v>42736</v>
      </c>
    </row>
    <row r="79" spans="1:13" ht="21" x14ac:dyDescent="0.35">
      <c r="A79" s="8">
        <v>2017</v>
      </c>
      <c r="B79" s="9">
        <v>1</v>
      </c>
      <c r="C79" s="17" t="s">
        <v>94</v>
      </c>
      <c r="D79" s="64" t="s">
        <v>74</v>
      </c>
      <c r="E79" s="9">
        <v>34.900001529999997</v>
      </c>
      <c r="F79" s="9">
        <v>1</v>
      </c>
      <c r="G79" s="9">
        <v>34.9</v>
      </c>
      <c r="H79" s="9">
        <v>5</v>
      </c>
      <c r="I79" s="9">
        <v>0</v>
      </c>
      <c r="J79" s="9">
        <v>0</v>
      </c>
      <c r="K79" s="62" t="s">
        <v>44</v>
      </c>
      <c r="L79" s="63" t="str">
        <f t="shared" si="2"/>
        <v>Jan-2017</v>
      </c>
      <c r="M79" s="29">
        <f t="shared" si="3"/>
        <v>42736</v>
      </c>
    </row>
    <row r="80" spans="1:13" ht="21" x14ac:dyDescent="0.35">
      <c r="A80" s="8">
        <v>2017</v>
      </c>
      <c r="B80" s="9">
        <v>1</v>
      </c>
      <c r="C80" s="17" t="s">
        <v>103</v>
      </c>
      <c r="D80" s="64" t="s">
        <v>92</v>
      </c>
      <c r="E80" s="9">
        <v>29.799999239999998</v>
      </c>
      <c r="F80" s="9">
        <v>1</v>
      </c>
      <c r="G80" s="9">
        <v>29.8</v>
      </c>
      <c r="H80" s="9">
        <v>5</v>
      </c>
      <c r="I80" s="9">
        <v>0</v>
      </c>
      <c r="J80" s="9">
        <v>0</v>
      </c>
      <c r="K80" s="62" t="s">
        <v>44</v>
      </c>
      <c r="L80" s="63" t="str">
        <f t="shared" si="2"/>
        <v>Jan-2017</v>
      </c>
      <c r="M80" s="29">
        <f t="shared" si="3"/>
        <v>42736</v>
      </c>
    </row>
    <row r="81" spans="1:13" ht="21" x14ac:dyDescent="0.35">
      <c r="A81" s="8">
        <v>2017</v>
      </c>
      <c r="B81" s="9">
        <v>1</v>
      </c>
      <c r="C81" s="17" t="s">
        <v>109</v>
      </c>
      <c r="D81" s="64" t="s">
        <v>93</v>
      </c>
      <c r="E81" s="9">
        <v>19.799999239999998</v>
      </c>
      <c r="F81" s="9">
        <v>2</v>
      </c>
      <c r="G81" s="9">
        <v>9.9</v>
      </c>
      <c r="H81" s="9">
        <v>5</v>
      </c>
      <c r="I81" s="9">
        <v>0</v>
      </c>
      <c r="J81" s="9">
        <v>0</v>
      </c>
      <c r="K81" s="62" t="s">
        <v>44</v>
      </c>
      <c r="L81" s="63" t="str">
        <f t="shared" si="2"/>
        <v>Jan-2017</v>
      </c>
      <c r="M81" s="29">
        <f t="shared" si="3"/>
        <v>42736</v>
      </c>
    </row>
    <row r="82" spans="1:13" ht="21" x14ac:dyDescent="0.35">
      <c r="A82" s="8">
        <v>2017</v>
      </c>
      <c r="B82" s="9">
        <v>2</v>
      </c>
      <c r="C82" s="17" t="s">
        <v>115</v>
      </c>
      <c r="D82" s="64" t="s">
        <v>43</v>
      </c>
      <c r="E82" s="9">
        <v>22838.789840000001</v>
      </c>
      <c r="F82" s="9">
        <v>155</v>
      </c>
      <c r="G82" s="9">
        <v>147.35</v>
      </c>
      <c r="H82" s="9">
        <v>4.0519480000000003</v>
      </c>
      <c r="I82" s="9">
        <v>0</v>
      </c>
      <c r="J82" s="9">
        <v>0</v>
      </c>
      <c r="K82" s="62" t="s">
        <v>44</v>
      </c>
      <c r="L82" s="63" t="str">
        <f t="shared" si="2"/>
        <v>Feb-2017</v>
      </c>
      <c r="M82" s="29">
        <f t="shared" si="3"/>
        <v>42767</v>
      </c>
    </row>
    <row r="83" spans="1:13" ht="21" x14ac:dyDescent="0.35">
      <c r="A83" s="8">
        <v>2017</v>
      </c>
      <c r="B83" s="9">
        <v>2</v>
      </c>
      <c r="C83" s="17" t="s">
        <v>118</v>
      </c>
      <c r="D83" s="64" t="s">
        <v>45</v>
      </c>
      <c r="E83" s="9">
        <v>20986.100020000002</v>
      </c>
      <c r="F83" s="9">
        <v>221</v>
      </c>
      <c r="G83" s="9">
        <v>94.96</v>
      </c>
      <c r="H83" s="9">
        <v>3.8904100000000001</v>
      </c>
      <c r="I83" s="9">
        <v>1</v>
      </c>
      <c r="J83" s="9">
        <v>0.45</v>
      </c>
      <c r="K83" s="62" t="s">
        <v>44</v>
      </c>
      <c r="L83" s="63" t="str">
        <f t="shared" si="2"/>
        <v>Feb-2017</v>
      </c>
      <c r="M83" s="29">
        <f t="shared" si="3"/>
        <v>42767</v>
      </c>
    </row>
    <row r="84" spans="1:13" ht="21" x14ac:dyDescent="0.35">
      <c r="A84" s="8">
        <v>2017</v>
      </c>
      <c r="B84" s="9">
        <v>2</v>
      </c>
      <c r="C84" s="17" t="s">
        <v>120</v>
      </c>
      <c r="D84" s="64" t="s">
        <v>52</v>
      </c>
      <c r="E84" s="9">
        <v>16372.16001</v>
      </c>
      <c r="F84" s="9">
        <v>139</v>
      </c>
      <c r="G84" s="9">
        <v>117.79</v>
      </c>
      <c r="H84" s="9">
        <v>4.1294959999999996</v>
      </c>
      <c r="I84" s="9">
        <v>1</v>
      </c>
      <c r="J84" s="9">
        <v>0.72</v>
      </c>
      <c r="K84" s="62" t="s">
        <v>44</v>
      </c>
      <c r="L84" s="63" t="str">
        <f t="shared" si="2"/>
        <v>Feb-2017</v>
      </c>
      <c r="M84" s="29">
        <f t="shared" si="3"/>
        <v>42767</v>
      </c>
    </row>
    <row r="85" spans="1:13" ht="21" x14ac:dyDescent="0.35">
      <c r="A85" s="8">
        <v>2017</v>
      </c>
      <c r="B85" s="9">
        <v>2</v>
      </c>
      <c r="C85" s="17" t="s">
        <v>124</v>
      </c>
      <c r="D85" s="64" t="s">
        <v>66</v>
      </c>
      <c r="E85" s="9">
        <v>16282.729880000001</v>
      </c>
      <c r="F85" s="9">
        <v>146</v>
      </c>
      <c r="G85" s="9">
        <v>111.53</v>
      </c>
      <c r="H85" s="9">
        <v>4.2275859999999996</v>
      </c>
      <c r="I85" s="9">
        <v>2</v>
      </c>
      <c r="J85" s="9">
        <v>1.37</v>
      </c>
      <c r="K85" s="62" t="s">
        <v>44</v>
      </c>
      <c r="L85" s="63" t="str">
        <f t="shared" si="2"/>
        <v>Feb-2017</v>
      </c>
      <c r="M85" s="29">
        <f t="shared" si="3"/>
        <v>42767</v>
      </c>
    </row>
    <row r="86" spans="1:13" ht="21" x14ac:dyDescent="0.35">
      <c r="A86" s="8">
        <v>2017</v>
      </c>
      <c r="B86" s="9">
        <v>2</v>
      </c>
      <c r="C86" s="17" t="s">
        <v>42</v>
      </c>
      <c r="D86" s="64" t="s">
        <v>62</v>
      </c>
      <c r="E86" s="9">
        <v>13323.600109999999</v>
      </c>
      <c r="F86" s="9">
        <v>69</v>
      </c>
      <c r="G86" s="9">
        <v>193.1</v>
      </c>
      <c r="H86" s="9">
        <v>4.2898550000000002</v>
      </c>
      <c r="I86" s="9">
        <v>0</v>
      </c>
      <c r="J86" s="9">
        <v>0</v>
      </c>
      <c r="K86" s="62" t="s">
        <v>44</v>
      </c>
      <c r="L86" s="63" t="str">
        <f t="shared" si="2"/>
        <v>Feb-2017</v>
      </c>
      <c r="M86" s="29">
        <f t="shared" si="3"/>
        <v>42767</v>
      </c>
    </row>
    <row r="87" spans="1:13" ht="21" x14ac:dyDescent="0.35">
      <c r="A87" s="8">
        <v>2017</v>
      </c>
      <c r="B87" s="9">
        <v>2</v>
      </c>
      <c r="C87" s="17" t="s">
        <v>47</v>
      </c>
      <c r="D87" s="64" t="s">
        <v>53</v>
      </c>
      <c r="E87" s="9">
        <v>13162.40005</v>
      </c>
      <c r="F87" s="9">
        <v>77</v>
      </c>
      <c r="G87" s="9">
        <v>170.94</v>
      </c>
      <c r="H87" s="9">
        <v>4.2631569999999996</v>
      </c>
      <c r="I87" s="9">
        <v>1</v>
      </c>
      <c r="J87" s="9">
        <v>1.3</v>
      </c>
      <c r="K87" s="62" t="s">
        <v>44</v>
      </c>
      <c r="L87" s="63" t="str">
        <f t="shared" si="2"/>
        <v>Feb-2017</v>
      </c>
      <c r="M87" s="29">
        <f t="shared" si="3"/>
        <v>42767</v>
      </c>
    </row>
    <row r="88" spans="1:13" ht="21" x14ac:dyDescent="0.35">
      <c r="A88" s="8">
        <v>2017</v>
      </c>
      <c r="B88" s="9">
        <v>2</v>
      </c>
      <c r="C88" s="17" t="s">
        <v>125</v>
      </c>
      <c r="D88" s="64" t="s">
        <v>57</v>
      </c>
      <c r="E88" s="9">
        <v>13144.609990000001</v>
      </c>
      <c r="F88" s="9">
        <v>63</v>
      </c>
      <c r="G88" s="9">
        <v>208.64</v>
      </c>
      <c r="H88" s="9">
        <v>3.9365070000000002</v>
      </c>
      <c r="I88" s="9">
        <v>1</v>
      </c>
      <c r="J88" s="9">
        <v>1.59</v>
      </c>
      <c r="K88" s="62" t="s">
        <v>44</v>
      </c>
      <c r="L88" s="63" t="str">
        <f t="shared" si="2"/>
        <v>Feb-2017</v>
      </c>
      <c r="M88" s="29">
        <f t="shared" si="3"/>
        <v>42767</v>
      </c>
    </row>
    <row r="89" spans="1:13" ht="21" x14ac:dyDescent="0.35">
      <c r="A89" s="8">
        <v>2017</v>
      </c>
      <c r="B89" s="9">
        <v>2</v>
      </c>
      <c r="C89" s="17" t="s">
        <v>76</v>
      </c>
      <c r="D89" s="64" t="s">
        <v>61</v>
      </c>
      <c r="E89" s="9">
        <v>12659.67</v>
      </c>
      <c r="F89" s="9">
        <v>68</v>
      </c>
      <c r="G89" s="9">
        <v>186.17</v>
      </c>
      <c r="H89" s="9">
        <v>3.941176</v>
      </c>
      <c r="I89" s="9">
        <v>2</v>
      </c>
      <c r="J89" s="9">
        <v>2.94</v>
      </c>
      <c r="K89" s="62" t="s">
        <v>44</v>
      </c>
      <c r="L89" s="63" t="str">
        <f t="shared" si="2"/>
        <v>Feb-2017</v>
      </c>
      <c r="M89" s="29">
        <f t="shared" si="3"/>
        <v>42767</v>
      </c>
    </row>
    <row r="90" spans="1:13" ht="21" x14ac:dyDescent="0.35">
      <c r="A90" s="8">
        <v>2017</v>
      </c>
      <c r="B90" s="9">
        <v>2</v>
      </c>
      <c r="C90" s="17" t="s">
        <v>77</v>
      </c>
      <c r="D90" s="64" t="s">
        <v>56</v>
      </c>
      <c r="E90" s="9">
        <v>11972.589980000001</v>
      </c>
      <c r="F90" s="9">
        <v>97</v>
      </c>
      <c r="G90" s="9">
        <v>123.43</v>
      </c>
      <c r="H90" s="9">
        <v>3.90625</v>
      </c>
      <c r="I90" s="9">
        <v>0</v>
      </c>
      <c r="J90" s="9">
        <v>0</v>
      </c>
      <c r="K90" s="62" t="s">
        <v>44</v>
      </c>
      <c r="L90" s="63" t="str">
        <f t="shared" si="2"/>
        <v>Feb-2017</v>
      </c>
      <c r="M90" s="29">
        <f t="shared" si="3"/>
        <v>42767</v>
      </c>
    </row>
    <row r="91" spans="1:13" ht="21" x14ac:dyDescent="0.35">
      <c r="A91" s="8">
        <v>2017</v>
      </c>
      <c r="B91" s="9">
        <v>2</v>
      </c>
      <c r="C91" s="17" t="s">
        <v>94</v>
      </c>
      <c r="D91" s="64" t="s">
        <v>60</v>
      </c>
      <c r="E91" s="9">
        <v>11805.98013</v>
      </c>
      <c r="F91" s="9">
        <v>53</v>
      </c>
      <c r="G91" s="9">
        <v>222.75</v>
      </c>
      <c r="H91" s="9">
        <v>3.5471689999999998</v>
      </c>
      <c r="I91" s="9">
        <v>0</v>
      </c>
      <c r="J91" s="9">
        <v>0</v>
      </c>
      <c r="K91" s="62" t="s">
        <v>44</v>
      </c>
      <c r="L91" s="63" t="str">
        <f t="shared" si="2"/>
        <v>Feb-2017</v>
      </c>
      <c r="M91" s="29">
        <f t="shared" si="3"/>
        <v>42767</v>
      </c>
    </row>
    <row r="92" spans="1:13" ht="21" x14ac:dyDescent="0.35">
      <c r="A92" s="8">
        <v>2017</v>
      </c>
      <c r="B92" s="9">
        <v>2</v>
      </c>
      <c r="C92" s="17" t="s">
        <v>103</v>
      </c>
      <c r="D92" s="64" t="s">
        <v>51</v>
      </c>
      <c r="E92" s="9">
        <v>11756.20996</v>
      </c>
      <c r="F92" s="9">
        <v>35</v>
      </c>
      <c r="G92" s="9">
        <v>335.89</v>
      </c>
      <c r="H92" s="9">
        <v>4.1142849999999997</v>
      </c>
      <c r="I92" s="9">
        <v>0</v>
      </c>
      <c r="J92" s="9">
        <v>0</v>
      </c>
      <c r="K92" s="62" t="s">
        <v>44</v>
      </c>
      <c r="L92" s="63" t="str">
        <f t="shared" si="2"/>
        <v>Feb-2017</v>
      </c>
      <c r="M92" s="29">
        <f t="shared" si="3"/>
        <v>42767</v>
      </c>
    </row>
    <row r="93" spans="1:13" ht="21" x14ac:dyDescent="0.35">
      <c r="A93" s="8">
        <v>2017</v>
      </c>
      <c r="B93" s="9">
        <v>2</v>
      </c>
      <c r="C93" s="17" t="s">
        <v>109</v>
      </c>
      <c r="D93" s="64" t="s">
        <v>49</v>
      </c>
      <c r="E93" s="9">
        <v>9403.3400230000007</v>
      </c>
      <c r="F93" s="9">
        <v>62</v>
      </c>
      <c r="G93" s="9">
        <v>151.66999999999999</v>
      </c>
      <c r="H93" s="9">
        <v>4.2903219999999997</v>
      </c>
      <c r="I93" s="9">
        <v>1</v>
      </c>
      <c r="J93" s="9">
        <v>1.61</v>
      </c>
      <c r="K93" s="62" t="s">
        <v>44</v>
      </c>
      <c r="L93" s="63" t="str">
        <f t="shared" si="2"/>
        <v>Feb-2017</v>
      </c>
      <c r="M93" s="29">
        <f t="shared" si="3"/>
        <v>42767</v>
      </c>
    </row>
    <row r="94" spans="1:13" ht="21" x14ac:dyDescent="0.35">
      <c r="A94" s="8">
        <v>2017</v>
      </c>
      <c r="B94" s="9">
        <v>2</v>
      </c>
      <c r="C94" s="17" t="s">
        <v>115</v>
      </c>
      <c r="D94" s="64" t="s">
        <v>0</v>
      </c>
      <c r="E94" s="9">
        <v>9034.1000029999996</v>
      </c>
      <c r="F94" s="9">
        <v>52</v>
      </c>
      <c r="G94" s="9">
        <v>173.73</v>
      </c>
      <c r="H94" s="9" t="s">
        <v>0</v>
      </c>
      <c r="I94" s="9" t="s">
        <v>0</v>
      </c>
      <c r="J94" s="9" t="s">
        <v>0</v>
      </c>
      <c r="K94" s="62" t="s">
        <v>44</v>
      </c>
      <c r="L94" s="63" t="str">
        <f t="shared" si="2"/>
        <v>Feb-2017</v>
      </c>
      <c r="M94" s="29">
        <f t="shared" si="3"/>
        <v>42767</v>
      </c>
    </row>
    <row r="95" spans="1:13" ht="21" x14ac:dyDescent="0.35">
      <c r="A95" s="8">
        <v>2017</v>
      </c>
      <c r="B95" s="9">
        <v>2</v>
      </c>
      <c r="C95" s="17" t="s">
        <v>118</v>
      </c>
      <c r="D95" s="64" t="s">
        <v>48</v>
      </c>
      <c r="E95" s="9">
        <v>8127.179905</v>
      </c>
      <c r="F95" s="9">
        <v>49</v>
      </c>
      <c r="G95" s="9">
        <v>165.86</v>
      </c>
      <c r="H95" s="9">
        <v>4.2244890000000002</v>
      </c>
      <c r="I95" s="9">
        <v>1</v>
      </c>
      <c r="J95" s="9">
        <v>2.04</v>
      </c>
      <c r="K95" s="62" t="s">
        <v>44</v>
      </c>
      <c r="L95" s="63" t="str">
        <f t="shared" si="2"/>
        <v>Feb-2017</v>
      </c>
      <c r="M95" s="29">
        <f t="shared" si="3"/>
        <v>42767</v>
      </c>
    </row>
    <row r="96" spans="1:13" ht="21" x14ac:dyDescent="0.35">
      <c r="A96" s="8">
        <v>2017</v>
      </c>
      <c r="B96" s="9">
        <v>2</v>
      </c>
      <c r="C96" s="17" t="s">
        <v>120</v>
      </c>
      <c r="D96" s="64" t="s">
        <v>80</v>
      </c>
      <c r="E96" s="9">
        <v>7251.580027</v>
      </c>
      <c r="F96" s="9">
        <v>25</v>
      </c>
      <c r="G96" s="9">
        <v>290.06</v>
      </c>
      <c r="H96" s="9">
        <v>4.6399999999999997</v>
      </c>
      <c r="I96" s="9">
        <v>0</v>
      </c>
      <c r="J96" s="9">
        <v>0</v>
      </c>
      <c r="K96" s="62" t="s">
        <v>44</v>
      </c>
      <c r="L96" s="63" t="str">
        <f t="shared" si="2"/>
        <v>Feb-2017</v>
      </c>
      <c r="M96" s="29">
        <f t="shared" si="3"/>
        <v>42767</v>
      </c>
    </row>
    <row r="97" spans="1:13" ht="21" x14ac:dyDescent="0.35">
      <c r="A97" s="8">
        <v>2017</v>
      </c>
      <c r="B97" s="9">
        <v>2</v>
      </c>
      <c r="C97" s="17" t="s">
        <v>124</v>
      </c>
      <c r="D97" s="64" t="s">
        <v>46</v>
      </c>
      <c r="E97" s="9">
        <v>6899.0900890000003</v>
      </c>
      <c r="F97" s="9">
        <v>100</v>
      </c>
      <c r="G97" s="9">
        <v>68.989999999999995</v>
      </c>
      <c r="H97" s="9">
        <v>4.071428</v>
      </c>
      <c r="I97" s="9">
        <v>2</v>
      </c>
      <c r="J97" s="9">
        <v>2</v>
      </c>
      <c r="K97" s="62" t="s">
        <v>44</v>
      </c>
      <c r="L97" s="63" t="str">
        <f t="shared" si="2"/>
        <v>Feb-2017</v>
      </c>
      <c r="M97" s="29">
        <f t="shared" si="3"/>
        <v>42767</v>
      </c>
    </row>
    <row r="98" spans="1:13" ht="21" x14ac:dyDescent="0.35">
      <c r="A98" s="8">
        <v>2017</v>
      </c>
      <c r="B98" s="9">
        <v>2</v>
      </c>
      <c r="C98" s="17" t="s">
        <v>42</v>
      </c>
      <c r="D98" s="64" t="s">
        <v>50</v>
      </c>
      <c r="E98" s="9">
        <v>4294.7699549999998</v>
      </c>
      <c r="F98" s="9">
        <v>18</v>
      </c>
      <c r="G98" s="9">
        <v>238.6</v>
      </c>
      <c r="H98" s="9">
        <v>4.1111110000000002</v>
      </c>
      <c r="I98" s="9">
        <v>0</v>
      </c>
      <c r="J98" s="9">
        <v>0</v>
      </c>
      <c r="K98" s="62" t="s">
        <v>44</v>
      </c>
      <c r="L98" s="63" t="str">
        <f t="shared" si="2"/>
        <v>Feb-2017</v>
      </c>
      <c r="M98" s="29">
        <f t="shared" si="3"/>
        <v>42767</v>
      </c>
    </row>
    <row r="99" spans="1:13" ht="21" x14ac:dyDescent="0.35">
      <c r="A99" s="8">
        <v>2017</v>
      </c>
      <c r="B99" s="9">
        <v>2</v>
      </c>
      <c r="C99" s="17" t="s">
        <v>47</v>
      </c>
      <c r="D99" s="64" t="s">
        <v>82</v>
      </c>
      <c r="E99" s="9">
        <v>3791.6299589999999</v>
      </c>
      <c r="F99" s="9">
        <v>15</v>
      </c>
      <c r="G99" s="9">
        <v>252.78</v>
      </c>
      <c r="H99" s="9">
        <v>3.785714</v>
      </c>
      <c r="I99" s="9">
        <v>2</v>
      </c>
      <c r="J99" s="9">
        <v>13.33</v>
      </c>
      <c r="K99" s="62" t="s">
        <v>44</v>
      </c>
      <c r="L99" s="63" t="str">
        <f t="shared" si="2"/>
        <v>Feb-2017</v>
      </c>
      <c r="M99" s="29">
        <f t="shared" si="3"/>
        <v>42767</v>
      </c>
    </row>
    <row r="100" spans="1:13" ht="21" x14ac:dyDescent="0.35">
      <c r="A100" s="8">
        <v>2017</v>
      </c>
      <c r="B100" s="9">
        <v>2</v>
      </c>
      <c r="C100" s="17" t="s">
        <v>125</v>
      </c>
      <c r="D100" s="64" t="s">
        <v>64</v>
      </c>
      <c r="E100" s="9">
        <v>3729.0699840000002</v>
      </c>
      <c r="F100" s="9">
        <v>37</v>
      </c>
      <c r="G100" s="9">
        <v>100.79</v>
      </c>
      <c r="H100" s="9">
        <v>4.27027</v>
      </c>
      <c r="I100" s="9">
        <v>0</v>
      </c>
      <c r="J100" s="9">
        <v>0</v>
      </c>
      <c r="K100" s="62" t="s">
        <v>44</v>
      </c>
      <c r="L100" s="63" t="str">
        <f t="shared" si="2"/>
        <v>Feb-2017</v>
      </c>
      <c r="M100" s="29">
        <f t="shared" si="3"/>
        <v>42767</v>
      </c>
    </row>
    <row r="101" spans="1:13" ht="21" x14ac:dyDescent="0.35">
      <c r="A101" s="8">
        <v>2017</v>
      </c>
      <c r="B101" s="9">
        <v>2</v>
      </c>
      <c r="C101" s="17" t="s">
        <v>76</v>
      </c>
      <c r="D101" s="64" t="s">
        <v>78</v>
      </c>
      <c r="E101" s="9">
        <v>3549</v>
      </c>
      <c r="F101" s="9">
        <v>1</v>
      </c>
      <c r="G101" s="9">
        <v>3549</v>
      </c>
      <c r="H101" s="9">
        <v>5</v>
      </c>
      <c r="I101" s="9">
        <v>0</v>
      </c>
      <c r="J101" s="9">
        <v>0</v>
      </c>
      <c r="K101" s="62" t="s">
        <v>44</v>
      </c>
      <c r="L101" s="63" t="str">
        <f t="shared" si="2"/>
        <v>Feb-2017</v>
      </c>
      <c r="M101" s="29">
        <f t="shared" si="3"/>
        <v>42767</v>
      </c>
    </row>
    <row r="102" spans="1:13" ht="21" x14ac:dyDescent="0.35">
      <c r="A102" s="8">
        <v>2017</v>
      </c>
      <c r="B102" s="9">
        <v>2</v>
      </c>
      <c r="C102" s="17" t="s">
        <v>77</v>
      </c>
      <c r="D102" s="64" t="s">
        <v>54</v>
      </c>
      <c r="E102" s="9">
        <v>3095.2999570000002</v>
      </c>
      <c r="F102" s="9">
        <v>12</v>
      </c>
      <c r="G102" s="9">
        <v>257.94</v>
      </c>
      <c r="H102" s="9">
        <v>2.7272720000000001</v>
      </c>
      <c r="I102" s="9">
        <v>0</v>
      </c>
      <c r="J102" s="9">
        <v>0</v>
      </c>
      <c r="K102" s="62" t="s">
        <v>44</v>
      </c>
      <c r="L102" s="63" t="str">
        <f t="shared" si="2"/>
        <v>Feb-2017</v>
      </c>
      <c r="M102" s="29">
        <f t="shared" si="3"/>
        <v>42767</v>
      </c>
    </row>
    <row r="103" spans="1:13" ht="21" x14ac:dyDescent="0.35">
      <c r="A103" s="8">
        <v>2017</v>
      </c>
      <c r="B103" s="9">
        <v>2</v>
      </c>
      <c r="C103" s="17" t="s">
        <v>94</v>
      </c>
      <c r="D103" s="64" t="s">
        <v>55</v>
      </c>
      <c r="E103" s="9">
        <v>3048.4800049999999</v>
      </c>
      <c r="F103" s="9">
        <v>33</v>
      </c>
      <c r="G103" s="9">
        <v>92.38</v>
      </c>
      <c r="H103" s="9">
        <v>4.1875</v>
      </c>
      <c r="I103" s="9">
        <v>0</v>
      </c>
      <c r="J103" s="9">
        <v>0</v>
      </c>
      <c r="K103" s="62" t="s">
        <v>44</v>
      </c>
      <c r="L103" s="63" t="str">
        <f t="shared" si="2"/>
        <v>Feb-2017</v>
      </c>
      <c r="M103" s="29">
        <f t="shared" si="3"/>
        <v>42767</v>
      </c>
    </row>
    <row r="104" spans="1:13" ht="21" x14ac:dyDescent="0.35">
      <c r="A104" s="8">
        <v>2017</v>
      </c>
      <c r="B104" s="9">
        <v>2</v>
      </c>
      <c r="C104" s="17" t="s">
        <v>103</v>
      </c>
      <c r="D104" s="64" t="s">
        <v>65</v>
      </c>
      <c r="E104" s="9">
        <v>2374.1100200000001</v>
      </c>
      <c r="F104" s="9">
        <v>35</v>
      </c>
      <c r="G104" s="9">
        <v>67.83</v>
      </c>
      <c r="H104" s="9">
        <v>4.1714279999999997</v>
      </c>
      <c r="I104" s="9">
        <v>0</v>
      </c>
      <c r="J104" s="9">
        <v>0</v>
      </c>
      <c r="K104" s="62" t="s">
        <v>44</v>
      </c>
      <c r="L104" s="63" t="str">
        <f t="shared" si="2"/>
        <v>Feb-2017</v>
      </c>
      <c r="M104" s="29">
        <f t="shared" si="3"/>
        <v>42767</v>
      </c>
    </row>
    <row r="105" spans="1:13" ht="21" x14ac:dyDescent="0.35">
      <c r="A105" s="8">
        <v>2017</v>
      </c>
      <c r="B105" s="9">
        <v>2</v>
      </c>
      <c r="C105" s="17" t="s">
        <v>109</v>
      </c>
      <c r="D105" s="64" t="s">
        <v>81</v>
      </c>
      <c r="E105" s="9">
        <v>2341.3999720000002</v>
      </c>
      <c r="F105" s="9">
        <v>19</v>
      </c>
      <c r="G105" s="9">
        <v>123.23</v>
      </c>
      <c r="H105" s="9">
        <v>4.5263150000000003</v>
      </c>
      <c r="I105" s="9">
        <v>0</v>
      </c>
      <c r="J105" s="9">
        <v>0</v>
      </c>
      <c r="K105" s="62" t="s">
        <v>44</v>
      </c>
      <c r="L105" s="63" t="str">
        <f t="shared" si="2"/>
        <v>Feb-2017</v>
      </c>
      <c r="M105" s="29">
        <f t="shared" si="3"/>
        <v>42767</v>
      </c>
    </row>
    <row r="106" spans="1:13" ht="21" x14ac:dyDescent="0.35">
      <c r="A106" s="8">
        <v>2017</v>
      </c>
      <c r="B106" s="9">
        <v>2</v>
      </c>
      <c r="C106" s="17" t="s">
        <v>115</v>
      </c>
      <c r="D106" s="64" t="s">
        <v>84</v>
      </c>
      <c r="E106" s="9">
        <v>2221.2800050000001</v>
      </c>
      <c r="F106" s="9">
        <v>8</v>
      </c>
      <c r="G106" s="9">
        <v>277.66000000000003</v>
      </c>
      <c r="H106" s="9">
        <v>4.5</v>
      </c>
      <c r="I106" s="9">
        <v>0</v>
      </c>
      <c r="J106" s="9">
        <v>0</v>
      </c>
      <c r="K106" s="62" t="s">
        <v>44</v>
      </c>
      <c r="L106" s="63" t="str">
        <f t="shared" si="2"/>
        <v>Feb-2017</v>
      </c>
      <c r="M106" s="29">
        <f t="shared" si="3"/>
        <v>42767</v>
      </c>
    </row>
    <row r="107" spans="1:13" ht="21" x14ac:dyDescent="0.35">
      <c r="A107" s="8">
        <v>2017</v>
      </c>
      <c r="B107" s="9">
        <v>2</v>
      </c>
      <c r="C107" s="17" t="s">
        <v>118</v>
      </c>
      <c r="D107" s="64" t="s">
        <v>83</v>
      </c>
      <c r="E107" s="9">
        <v>1694.1800040000001</v>
      </c>
      <c r="F107" s="9">
        <v>20</v>
      </c>
      <c r="G107" s="9">
        <v>84.71</v>
      </c>
      <c r="H107" s="9">
        <v>4.3499999999999996</v>
      </c>
      <c r="I107" s="9">
        <v>0</v>
      </c>
      <c r="J107" s="9">
        <v>0</v>
      </c>
      <c r="K107" s="62" t="s">
        <v>44</v>
      </c>
      <c r="L107" s="63" t="str">
        <f t="shared" si="2"/>
        <v>Feb-2017</v>
      </c>
      <c r="M107" s="29">
        <f t="shared" si="3"/>
        <v>42767</v>
      </c>
    </row>
    <row r="108" spans="1:13" ht="21" x14ac:dyDescent="0.35">
      <c r="A108" s="8">
        <v>2017</v>
      </c>
      <c r="B108" s="9">
        <v>2</v>
      </c>
      <c r="C108" s="17" t="s">
        <v>120</v>
      </c>
      <c r="D108" s="64" t="s">
        <v>59</v>
      </c>
      <c r="E108" s="9">
        <v>1688.219994</v>
      </c>
      <c r="F108" s="9">
        <v>19</v>
      </c>
      <c r="G108" s="9">
        <v>88.85</v>
      </c>
      <c r="H108" s="9">
        <v>3.7894730000000001</v>
      </c>
      <c r="I108" s="9">
        <v>1</v>
      </c>
      <c r="J108" s="9">
        <v>5.26</v>
      </c>
      <c r="K108" s="62" t="s">
        <v>44</v>
      </c>
      <c r="L108" s="63" t="str">
        <f t="shared" si="2"/>
        <v>Feb-2017</v>
      </c>
      <c r="M108" s="29">
        <f t="shared" si="3"/>
        <v>42767</v>
      </c>
    </row>
    <row r="109" spans="1:13" ht="21" x14ac:dyDescent="0.35">
      <c r="A109" s="8">
        <v>2017</v>
      </c>
      <c r="B109" s="9">
        <v>2</v>
      </c>
      <c r="C109" s="17" t="s">
        <v>124</v>
      </c>
      <c r="D109" s="64" t="s">
        <v>58</v>
      </c>
      <c r="E109" s="9">
        <v>1218.8500059999999</v>
      </c>
      <c r="F109" s="9">
        <v>14</v>
      </c>
      <c r="G109" s="9">
        <v>87.06</v>
      </c>
      <c r="H109" s="9">
        <v>4.071428</v>
      </c>
      <c r="I109" s="9">
        <v>0</v>
      </c>
      <c r="J109" s="9">
        <v>0</v>
      </c>
      <c r="K109" s="62" t="s">
        <v>44</v>
      </c>
      <c r="L109" s="63" t="str">
        <f t="shared" si="2"/>
        <v>Feb-2017</v>
      </c>
      <c r="M109" s="29">
        <f t="shared" si="3"/>
        <v>42767</v>
      </c>
    </row>
    <row r="110" spans="1:13" ht="21" x14ac:dyDescent="0.35">
      <c r="A110" s="8">
        <v>2017</v>
      </c>
      <c r="B110" s="9">
        <v>2</v>
      </c>
      <c r="C110" s="17" t="s">
        <v>42</v>
      </c>
      <c r="D110" s="64" t="s">
        <v>95</v>
      </c>
      <c r="E110" s="9">
        <v>792</v>
      </c>
      <c r="F110" s="9">
        <v>8</v>
      </c>
      <c r="G110" s="9">
        <v>99</v>
      </c>
      <c r="H110" s="9">
        <v>4.25</v>
      </c>
      <c r="I110" s="9">
        <v>0</v>
      </c>
      <c r="J110" s="9">
        <v>0</v>
      </c>
      <c r="K110" s="62" t="s">
        <v>44</v>
      </c>
      <c r="L110" s="63" t="str">
        <f t="shared" si="2"/>
        <v>Feb-2017</v>
      </c>
      <c r="M110" s="29">
        <f t="shared" si="3"/>
        <v>42767</v>
      </c>
    </row>
    <row r="111" spans="1:13" ht="21" x14ac:dyDescent="0.35">
      <c r="A111" s="8">
        <v>2017</v>
      </c>
      <c r="B111" s="9">
        <v>2</v>
      </c>
      <c r="C111" s="17" t="s">
        <v>47</v>
      </c>
      <c r="D111" s="64" t="s">
        <v>71</v>
      </c>
      <c r="E111" s="9">
        <v>772.7099991</v>
      </c>
      <c r="F111" s="9">
        <v>8</v>
      </c>
      <c r="G111" s="9">
        <v>96.59</v>
      </c>
      <c r="H111" s="9">
        <v>4.375</v>
      </c>
      <c r="I111" s="9">
        <v>0</v>
      </c>
      <c r="J111" s="9">
        <v>0</v>
      </c>
      <c r="K111" s="62" t="s">
        <v>44</v>
      </c>
      <c r="L111" s="63" t="str">
        <f t="shared" si="2"/>
        <v>Feb-2017</v>
      </c>
      <c r="M111" s="29">
        <f t="shared" si="3"/>
        <v>42767</v>
      </c>
    </row>
    <row r="112" spans="1:13" ht="21" x14ac:dyDescent="0.35">
      <c r="A112" s="8">
        <v>2017</v>
      </c>
      <c r="B112" s="9">
        <v>2</v>
      </c>
      <c r="C112" s="17" t="s">
        <v>125</v>
      </c>
      <c r="D112" s="64" t="s">
        <v>63</v>
      </c>
      <c r="E112" s="9">
        <v>759.23000809999996</v>
      </c>
      <c r="F112" s="9">
        <v>18</v>
      </c>
      <c r="G112" s="9">
        <v>42.18</v>
      </c>
      <c r="H112" s="9">
        <v>4.1666660000000002</v>
      </c>
      <c r="I112" s="9">
        <v>0</v>
      </c>
      <c r="J112" s="9">
        <v>0</v>
      </c>
      <c r="K112" s="62" t="s">
        <v>44</v>
      </c>
      <c r="L112" s="63" t="str">
        <f t="shared" si="2"/>
        <v>Feb-2017</v>
      </c>
      <c r="M112" s="29">
        <f t="shared" si="3"/>
        <v>42767</v>
      </c>
    </row>
    <row r="113" spans="1:13" ht="21" x14ac:dyDescent="0.35">
      <c r="A113" s="8">
        <v>2017</v>
      </c>
      <c r="B113" s="9">
        <v>2</v>
      </c>
      <c r="C113" s="17" t="s">
        <v>76</v>
      </c>
      <c r="D113" s="64" t="s">
        <v>96</v>
      </c>
      <c r="E113" s="9">
        <v>740.90000150000003</v>
      </c>
      <c r="F113" s="9">
        <v>7</v>
      </c>
      <c r="G113" s="9">
        <v>105.84</v>
      </c>
      <c r="H113" s="9">
        <v>4.1428570000000002</v>
      </c>
      <c r="I113" s="9">
        <v>0</v>
      </c>
      <c r="J113" s="9">
        <v>0</v>
      </c>
      <c r="K113" s="62" t="s">
        <v>44</v>
      </c>
      <c r="L113" s="63" t="str">
        <f t="shared" si="2"/>
        <v>Feb-2017</v>
      </c>
      <c r="M113" s="29">
        <f t="shared" si="3"/>
        <v>42767</v>
      </c>
    </row>
    <row r="114" spans="1:13" ht="21" x14ac:dyDescent="0.35">
      <c r="A114" s="8">
        <v>2017</v>
      </c>
      <c r="B114" s="9">
        <v>2</v>
      </c>
      <c r="C114" s="17" t="s">
        <v>77</v>
      </c>
      <c r="D114" s="64" t="s">
        <v>72</v>
      </c>
      <c r="E114" s="9">
        <v>715.62997629999995</v>
      </c>
      <c r="F114" s="9">
        <v>9</v>
      </c>
      <c r="G114" s="9">
        <v>79.510000000000005</v>
      </c>
      <c r="H114" s="9">
        <v>3.8888880000000001</v>
      </c>
      <c r="I114" s="9">
        <v>0</v>
      </c>
      <c r="J114" s="9">
        <v>0</v>
      </c>
      <c r="K114" s="62" t="s">
        <v>44</v>
      </c>
      <c r="L114" s="63" t="str">
        <f t="shared" si="2"/>
        <v>Feb-2017</v>
      </c>
      <c r="M114" s="29">
        <f t="shared" si="3"/>
        <v>42767</v>
      </c>
    </row>
    <row r="115" spans="1:13" ht="21" x14ac:dyDescent="0.35">
      <c r="A115" s="8">
        <v>2017</v>
      </c>
      <c r="B115" s="9">
        <v>2</v>
      </c>
      <c r="C115" s="17" t="s">
        <v>94</v>
      </c>
      <c r="D115" s="64" t="s">
        <v>97</v>
      </c>
      <c r="E115" s="9">
        <v>695.59997559999999</v>
      </c>
      <c r="F115" s="9">
        <v>3</v>
      </c>
      <c r="G115" s="9">
        <v>231.87</v>
      </c>
      <c r="H115" s="9">
        <v>5</v>
      </c>
      <c r="I115" s="9">
        <v>0</v>
      </c>
      <c r="J115" s="9">
        <v>0</v>
      </c>
      <c r="K115" s="62" t="s">
        <v>44</v>
      </c>
      <c r="L115" s="63" t="str">
        <f t="shared" si="2"/>
        <v>Feb-2017</v>
      </c>
      <c r="M115" s="29">
        <f t="shared" si="3"/>
        <v>42767</v>
      </c>
    </row>
    <row r="116" spans="1:13" ht="21" x14ac:dyDescent="0.35">
      <c r="A116" s="8">
        <v>2017</v>
      </c>
      <c r="B116" s="9">
        <v>2</v>
      </c>
      <c r="C116" s="17" t="s">
        <v>103</v>
      </c>
      <c r="D116" s="64" t="s">
        <v>75</v>
      </c>
      <c r="E116" s="9">
        <v>642.84999849999997</v>
      </c>
      <c r="F116" s="9">
        <v>7</v>
      </c>
      <c r="G116" s="9">
        <v>91.84</v>
      </c>
      <c r="H116" s="9">
        <v>4.1428570000000002</v>
      </c>
      <c r="I116" s="9">
        <v>0</v>
      </c>
      <c r="J116" s="9">
        <v>0</v>
      </c>
      <c r="K116" s="62" t="s">
        <v>44</v>
      </c>
      <c r="L116" s="63" t="str">
        <f t="shared" si="2"/>
        <v>Feb-2017</v>
      </c>
      <c r="M116" s="29">
        <f t="shared" si="3"/>
        <v>42767</v>
      </c>
    </row>
    <row r="117" spans="1:13" ht="21" x14ac:dyDescent="0.35">
      <c r="A117" s="8">
        <v>2017</v>
      </c>
      <c r="B117" s="9">
        <v>2</v>
      </c>
      <c r="C117" s="17" t="s">
        <v>109</v>
      </c>
      <c r="D117" s="64" t="s">
        <v>98</v>
      </c>
      <c r="E117" s="9">
        <v>579.97998050000001</v>
      </c>
      <c r="F117" s="9">
        <v>1</v>
      </c>
      <c r="G117" s="9">
        <v>579.98</v>
      </c>
      <c r="H117" s="9">
        <v>5</v>
      </c>
      <c r="I117" s="9">
        <v>0</v>
      </c>
      <c r="J117" s="9">
        <v>0</v>
      </c>
      <c r="K117" s="62" t="s">
        <v>44</v>
      </c>
      <c r="L117" s="63" t="str">
        <f t="shared" si="2"/>
        <v>Feb-2017</v>
      </c>
      <c r="M117" s="29">
        <f t="shared" si="3"/>
        <v>42767</v>
      </c>
    </row>
    <row r="118" spans="1:13" ht="21" x14ac:dyDescent="0.35">
      <c r="A118" s="8">
        <v>2017</v>
      </c>
      <c r="B118" s="9">
        <v>2</v>
      </c>
      <c r="C118" s="17" t="s">
        <v>115</v>
      </c>
      <c r="D118" s="64" t="s">
        <v>73</v>
      </c>
      <c r="E118" s="9">
        <v>457.7999954</v>
      </c>
      <c r="F118" s="9">
        <v>4</v>
      </c>
      <c r="G118" s="9">
        <v>114.45</v>
      </c>
      <c r="H118" s="9">
        <v>3</v>
      </c>
      <c r="I118" s="9">
        <v>0</v>
      </c>
      <c r="J118" s="9">
        <v>0</v>
      </c>
      <c r="K118" s="62" t="s">
        <v>44</v>
      </c>
      <c r="L118" s="63" t="str">
        <f t="shared" si="2"/>
        <v>Feb-2017</v>
      </c>
      <c r="M118" s="29">
        <f t="shared" si="3"/>
        <v>42767</v>
      </c>
    </row>
    <row r="119" spans="1:13" ht="21" x14ac:dyDescent="0.35">
      <c r="A119" s="8">
        <v>2017</v>
      </c>
      <c r="B119" s="9">
        <v>2</v>
      </c>
      <c r="C119" s="17" t="s">
        <v>118</v>
      </c>
      <c r="D119" s="64" t="s">
        <v>89</v>
      </c>
      <c r="E119" s="9">
        <v>450</v>
      </c>
      <c r="F119" s="9">
        <v>1</v>
      </c>
      <c r="G119" s="9">
        <v>450</v>
      </c>
      <c r="H119" s="9">
        <v>5</v>
      </c>
      <c r="I119" s="9">
        <v>0</v>
      </c>
      <c r="J119" s="9">
        <v>0</v>
      </c>
      <c r="K119" s="62" t="s">
        <v>44</v>
      </c>
      <c r="L119" s="63" t="str">
        <f t="shared" si="2"/>
        <v>Feb-2017</v>
      </c>
      <c r="M119" s="29">
        <f t="shared" si="3"/>
        <v>42767</v>
      </c>
    </row>
    <row r="120" spans="1:13" ht="21" x14ac:dyDescent="0.35">
      <c r="A120" s="8">
        <v>2017</v>
      </c>
      <c r="B120" s="9">
        <v>2</v>
      </c>
      <c r="C120" s="17" t="s">
        <v>120</v>
      </c>
      <c r="D120" s="64" t="s">
        <v>99</v>
      </c>
      <c r="E120" s="9">
        <v>414.6600037</v>
      </c>
      <c r="F120" s="9">
        <v>3</v>
      </c>
      <c r="G120" s="9">
        <v>138.22</v>
      </c>
      <c r="H120" s="9">
        <v>3</v>
      </c>
      <c r="I120" s="9">
        <v>0</v>
      </c>
      <c r="J120" s="9">
        <v>0</v>
      </c>
      <c r="K120" s="62" t="s">
        <v>44</v>
      </c>
      <c r="L120" s="63" t="str">
        <f t="shared" si="2"/>
        <v>Feb-2017</v>
      </c>
      <c r="M120" s="29">
        <f t="shared" si="3"/>
        <v>42767</v>
      </c>
    </row>
    <row r="121" spans="1:13" ht="21" x14ac:dyDescent="0.35">
      <c r="A121" s="8">
        <v>2017</v>
      </c>
      <c r="B121" s="9">
        <v>2</v>
      </c>
      <c r="C121" s="17" t="s">
        <v>124</v>
      </c>
      <c r="D121" s="64" t="s">
        <v>87</v>
      </c>
      <c r="E121" s="9">
        <v>396.96999929999998</v>
      </c>
      <c r="F121" s="9">
        <v>6</v>
      </c>
      <c r="G121" s="9">
        <v>66.16</v>
      </c>
      <c r="H121" s="9">
        <v>4.3333329999999997</v>
      </c>
      <c r="I121" s="9">
        <v>0</v>
      </c>
      <c r="J121" s="9">
        <v>0</v>
      </c>
      <c r="K121" s="62" t="s">
        <v>44</v>
      </c>
      <c r="L121" s="63" t="str">
        <f t="shared" si="2"/>
        <v>Feb-2017</v>
      </c>
      <c r="M121" s="29">
        <f t="shared" si="3"/>
        <v>42767</v>
      </c>
    </row>
    <row r="122" spans="1:13" ht="21" x14ac:dyDescent="0.35">
      <c r="A122" s="8">
        <v>2017</v>
      </c>
      <c r="B122" s="9">
        <v>2</v>
      </c>
      <c r="C122" s="17" t="s">
        <v>42</v>
      </c>
      <c r="D122" s="64" t="s">
        <v>100</v>
      </c>
      <c r="E122" s="9">
        <v>379</v>
      </c>
      <c r="F122" s="9">
        <v>1</v>
      </c>
      <c r="G122" s="9">
        <v>379</v>
      </c>
      <c r="H122" s="9">
        <v>5</v>
      </c>
      <c r="I122" s="9">
        <v>0</v>
      </c>
      <c r="J122" s="9">
        <v>0</v>
      </c>
      <c r="K122" s="62" t="s">
        <v>44</v>
      </c>
      <c r="L122" s="63" t="str">
        <f t="shared" si="2"/>
        <v>Feb-2017</v>
      </c>
      <c r="M122" s="29">
        <f t="shared" si="3"/>
        <v>42767</v>
      </c>
    </row>
    <row r="123" spans="1:13" ht="21" x14ac:dyDescent="0.35">
      <c r="A123" s="8">
        <v>2017</v>
      </c>
      <c r="B123" s="9">
        <v>2</v>
      </c>
      <c r="C123" s="17" t="s">
        <v>47</v>
      </c>
      <c r="D123" s="64" t="s">
        <v>85</v>
      </c>
      <c r="E123" s="9">
        <v>336.78998949999999</v>
      </c>
      <c r="F123" s="9">
        <v>3</v>
      </c>
      <c r="G123" s="9">
        <v>112.26</v>
      </c>
      <c r="H123" s="9">
        <v>5</v>
      </c>
      <c r="I123" s="9">
        <v>0</v>
      </c>
      <c r="J123" s="9">
        <v>0</v>
      </c>
      <c r="K123" s="62" t="s">
        <v>44</v>
      </c>
      <c r="L123" s="63" t="str">
        <f t="shared" si="2"/>
        <v>Feb-2017</v>
      </c>
      <c r="M123" s="29">
        <f t="shared" si="3"/>
        <v>42767</v>
      </c>
    </row>
    <row r="124" spans="1:13" ht="21" x14ac:dyDescent="0.35">
      <c r="A124" s="8">
        <v>2017</v>
      </c>
      <c r="B124" s="9">
        <v>2</v>
      </c>
      <c r="C124" s="17" t="s">
        <v>125</v>
      </c>
      <c r="D124" s="64" t="s">
        <v>91</v>
      </c>
      <c r="E124" s="9">
        <v>224.84000019999999</v>
      </c>
      <c r="F124" s="9">
        <v>7</v>
      </c>
      <c r="G124" s="9">
        <v>32.119999999999997</v>
      </c>
      <c r="H124" s="9">
        <v>3.8571420000000001</v>
      </c>
      <c r="I124" s="9">
        <v>0</v>
      </c>
      <c r="J124" s="9">
        <v>0</v>
      </c>
      <c r="K124" s="62" t="s">
        <v>44</v>
      </c>
      <c r="L124" s="63" t="str">
        <f t="shared" si="2"/>
        <v>Feb-2017</v>
      </c>
      <c r="M124" s="29">
        <f t="shared" si="3"/>
        <v>42767</v>
      </c>
    </row>
    <row r="125" spans="1:13" ht="21" x14ac:dyDescent="0.35">
      <c r="A125" s="8">
        <v>2017</v>
      </c>
      <c r="B125" s="9">
        <v>2</v>
      </c>
      <c r="C125" s="17" t="s">
        <v>76</v>
      </c>
      <c r="D125" s="64" t="s">
        <v>69</v>
      </c>
      <c r="E125" s="9">
        <v>163.7999992</v>
      </c>
      <c r="F125" s="9">
        <v>5</v>
      </c>
      <c r="G125" s="9">
        <v>32.76</v>
      </c>
      <c r="H125" s="9">
        <v>3.4</v>
      </c>
      <c r="I125" s="9">
        <v>0</v>
      </c>
      <c r="J125" s="9">
        <v>0</v>
      </c>
      <c r="K125" s="62" t="s">
        <v>44</v>
      </c>
      <c r="L125" s="63" t="str">
        <f t="shared" si="2"/>
        <v>Feb-2017</v>
      </c>
      <c r="M125" s="29">
        <f t="shared" si="3"/>
        <v>42767</v>
      </c>
    </row>
    <row r="126" spans="1:13" ht="21" x14ac:dyDescent="0.35">
      <c r="A126" s="8">
        <v>2017</v>
      </c>
      <c r="B126" s="9">
        <v>2</v>
      </c>
      <c r="C126" s="17" t="s">
        <v>77</v>
      </c>
      <c r="D126" s="64" t="s">
        <v>68</v>
      </c>
      <c r="E126" s="9">
        <v>159</v>
      </c>
      <c r="F126" s="9">
        <v>1</v>
      </c>
      <c r="G126" s="9">
        <v>159</v>
      </c>
      <c r="H126" s="9">
        <v>4</v>
      </c>
      <c r="I126" s="9">
        <v>0</v>
      </c>
      <c r="J126" s="9">
        <v>0</v>
      </c>
      <c r="K126" s="62" t="s">
        <v>44</v>
      </c>
      <c r="L126" s="63" t="str">
        <f t="shared" si="2"/>
        <v>Feb-2017</v>
      </c>
      <c r="M126" s="29">
        <f t="shared" si="3"/>
        <v>42767</v>
      </c>
    </row>
    <row r="127" spans="1:13" ht="21" x14ac:dyDescent="0.35">
      <c r="A127" s="8">
        <v>2017</v>
      </c>
      <c r="B127" s="9">
        <v>2</v>
      </c>
      <c r="C127" s="17" t="s">
        <v>94</v>
      </c>
      <c r="D127" s="64" t="s">
        <v>88</v>
      </c>
      <c r="E127" s="9">
        <v>139.8999996</v>
      </c>
      <c r="F127" s="9">
        <v>2</v>
      </c>
      <c r="G127" s="9">
        <v>69.95</v>
      </c>
      <c r="H127" s="9">
        <v>4</v>
      </c>
      <c r="I127" s="9">
        <v>0</v>
      </c>
      <c r="J127" s="9">
        <v>0</v>
      </c>
      <c r="K127" s="62" t="s">
        <v>44</v>
      </c>
      <c r="L127" s="63" t="str">
        <f t="shared" si="2"/>
        <v>Feb-2017</v>
      </c>
      <c r="M127" s="29">
        <f t="shared" si="3"/>
        <v>42767</v>
      </c>
    </row>
    <row r="128" spans="1:13" ht="21" x14ac:dyDescent="0.35">
      <c r="A128" s="8">
        <v>2017</v>
      </c>
      <c r="B128" s="9">
        <v>2</v>
      </c>
      <c r="C128" s="17" t="s">
        <v>103</v>
      </c>
      <c r="D128" s="64" t="s">
        <v>67</v>
      </c>
      <c r="E128" s="9">
        <v>119</v>
      </c>
      <c r="F128" s="9">
        <v>1</v>
      </c>
      <c r="G128" s="9">
        <v>119</v>
      </c>
      <c r="H128" s="9">
        <v>5</v>
      </c>
      <c r="I128" s="9">
        <v>0</v>
      </c>
      <c r="J128" s="9">
        <v>0</v>
      </c>
      <c r="K128" s="62" t="s">
        <v>44</v>
      </c>
      <c r="L128" s="63" t="str">
        <f t="shared" si="2"/>
        <v>Feb-2017</v>
      </c>
      <c r="M128" s="29">
        <f t="shared" si="3"/>
        <v>42767</v>
      </c>
    </row>
    <row r="129" spans="1:13" ht="21" x14ac:dyDescent="0.35">
      <c r="A129" s="8">
        <v>2017</v>
      </c>
      <c r="B129" s="9">
        <v>2</v>
      </c>
      <c r="C129" s="17" t="s">
        <v>109</v>
      </c>
      <c r="D129" s="64" t="s">
        <v>74</v>
      </c>
      <c r="E129" s="9">
        <v>107.0500031</v>
      </c>
      <c r="F129" s="9">
        <v>2</v>
      </c>
      <c r="G129" s="9">
        <v>53.53</v>
      </c>
      <c r="H129" s="9">
        <v>4.5</v>
      </c>
      <c r="I129" s="9">
        <v>0</v>
      </c>
      <c r="J129" s="9">
        <v>0</v>
      </c>
      <c r="K129" s="62" t="s">
        <v>44</v>
      </c>
      <c r="L129" s="63" t="str">
        <f t="shared" si="2"/>
        <v>Feb-2017</v>
      </c>
      <c r="M129" s="29">
        <f t="shared" si="3"/>
        <v>42767</v>
      </c>
    </row>
    <row r="130" spans="1:13" ht="21" x14ac:dyDescent="0.35">
      <c r="A130" s="8">
        <v>2017</v>
      </c>
      <c r="B130" s="9">
        <v>2</v>
      </c>
      <c r="C130" s="17" t="s">
        <v>115</v>
      </c>
      <c r="D130" s="64" t="s">
        <v>101</v>
      </c>
      <c r="E130" s="9">
        <v>99</v>
      </c>
      <c r="F130" s="9">
        <v>1</v>
      </c>
      <c r="G130" s="9">
        <v>99</v>
      </c>
      <c r="H130" s="9">
        <v>1</v>
      </c>
      <c r="I130" s="9">
        <v>0</v>
      </c>
      <c r="J130" s="9">
        <v>0</v>
      </c>
      <c r="K130" s="62" t="s">
        <v>44</v>
      </c>
      <c r="L130" s="63" t="str">
        <f t="shared" ref="L130:L193" si="4">TEXT(DATE(A130,B130,1),"mmm-yyyy")</f>
        <v>Feb-2017</v>
      </c>
      <c r="M130" s="29">
        <f t="shared" ref="M130:M193" si="5">DATE(A130,B130,1)</f>
        <v>42767</v>
      </c>
    </row>
    <row r="131" spans="1:13" ht="21" x14ac:dyDescent="0.35">
      <c r="A131" s="8">
        <v>2017</v>
      </c>
      <c r="B131" s="9">
        <v>2</v>
      </c>
      <c r="C131" s="17" t="s">
        <v>118</v>
      </c>
      <c r="D131" s="64" t="s">
        <v>102</v>
      </c>
      <c r="E131" s="9">
        <v>59</v>
      </c>
      <c r="F131" s="9">
        <v>1</v>
      </c>
      <c r="G131" s="9">
        <v>59</v>
      </c>
      <c r="H131" s="9">
        <v>5</v>
      </c>
      <c r="I131" s="9">
        <v>0</v>
      </c>
      <c r="J131" s="9">
        <v>0</v>
      </c>
      <c r="K131" s="62" t="s">
        <v>44</v>
      </c>
      <c r="L131" s="63" t="str">
        <f t="shared" si="4"/>
        <v>Feb-2017</v>
      </c>
      <c r="M131" s="29">
        <f t="shared" si="5"/>
        <v>42767</v>
      </c>
    </row>
    <row r="132" spans="1:13" ht="21" x14ac:dyDescent="0.35">
      <c r="A132" s="8">
        <v>2017</v>
      </c>
      <c r="B132" s="9">
        <v>2</v>
      </c>
      <c r="C132" s="17" t="s">
        <v>120</v>
      </c>
      <c r="D132" s="64" t="s">
        <v>79</v>
      </c>
      <c r="E132" s="9">
        <v>15.989999770000001</v>
      </c>
      <c r="F132" s="9">
        <v>1</v>
      </c>
      <c r="G132" s="9">
        <v>15.99</v>
      </c>
      <c r="H132" s="9">
        <v>5</v>
      </c>
      <c r="I132" s="9">
        <v>0</v>
      </c>
      <c r="J132" s="9">
        <v>0</v>
      </c>
      <c r="K132" s="62" t="s">
        <v>44</v>
      </c>
      <c r="L132" s="63" t="str">
        <f t="shared" si="4"/>
        <v>Feb-2017</v>
      </c>
      <c r="M132" s="29">
        <f t="shared" si="5"/>
        <v>42767</v>
      </c>
    </row>
    <row r="133" spans="1:13" ht="21" x14ac:dyDescent="0.35">
      <c r="A133" s="8">
        <v>2017</v>
      </c>
      <c r="B133" s="9">
        <v>2</v>
      </c>
      <c r="C133" s="17" t="s">
        <v>124</v>
      </c>
      <c r="D133" s="64" t="s">
        <v>92</v>
      </c>
      <c r="E133" s="9">
        <v>14.899999619999999</v>
      </c>
      <c r="F133" s="9">
        <v>1</v>
      </c>
      <c r="G133" s="9">
        <v>14.9</v>
      </c>
      <c r="H133" s="9">
        <v>4</v>
      </c>
      <c r="I133" s="9">
        <v>0</v>
      </c>
      <c r="J133" s="9">
        <v>0</v>
      </c>
      <c r="K133" s="62" t="s">
        <v>44</v>
      </c>
      <c r="L133" s="63" t="str">
        <f t="shared" si="4"/>
        <v>Feb-2017</v>
      </c>
      <c r="M133" s="29">
        <f t="shared" si="5"/>
        <v>42767</v>
      </c>
    </row>
    <row r="134" spans="1:13" ht="21" x14ac:dyDescent="0.35">
      <c r="A134" s="8">
        <v>2017</v>
      </c>
      <c r="B134" s="9">
        <v>3</v>
      </c>
      <c r="C134" s="17" t="s">
        <v>42</v>
      </c>
      <c r="D134" s="64" t="s">
        <v>56</v>
      </c>
      <c r="E134" s="9">
        <v>28624.599569999998</v>
      </c>
      <c r="F134" s="9">
        <v>150</v>
      </c>
      <c r="G134" s="9">
        <v>190.83</v>
      </c>
      <c r="H134" s="9">
        <v>3.9932880000000002</v>
      </c>
      <c r="I134" s="9">
        <v>1</v>
      </c>
      <c r="J134" s="9">
        <v>0.67</v>
      </c>
      <c r="K134" s="62" t="s">
        <v>44</v>
      </c>
      <c r="L134" s="63" t="str">
        <f t="shared" si="4"/>
        <v>Mar-2017</v>
      </c>
      <c r="M134" s="29">
        <f t="shared" si="5"/>
        <v>42795</v>
      </c>
    </row>
    <row r="135" spans="1:13" ht="21" x14ac:dyDescent="0.35">
      <c r="A135" s="8">
        <v>2017</v>
      </c>
      <c r="B135" s="9">
        <v>3</v>
      </c>
      <c r="C135" s="17" t="s">
        <v>47</v>
      </c>
      <c r="D135" s="64" t="s">
        <v>52</v>
      </c>
      <c r="E135" s="9">
        <v>27001.589960000001</v>
      </c>
      <c r="F135" s="9">
        <v>171</v>
      </c>
      <c r="G135" s="9">
        <v>157.9</v>
      </c>
      <c r="H135" s="9">
        <v>4.2</v>
      </c>
      <c r="I135" s="9">
        <v>2</v>
      </c>
      <c r="J135" s="9">
        <v>1.17</v>
      </c>
      <c r="K135" s="62" t="s">
        <v>44</v>
      </c>
      <c r="L135" s="63" t="str">
        <f t="shared" si="4"/>
        <v>Mar-2017</v>
      </c>
      <c r="M135" s="29">
        <f t="shared" si="5"/>
        <v>42795</v>
      </c>
    </row>
    <row r="136" spans="1:13" ht="21" x14ac:dyDescent="0.35">
      <c r="A136" s="8">
        <v>2017</v>
      </c>
      <c r="B136" s="9">
        <v>3</v>
      </c>
      <c r="C136" s="17" t="s">
        <v>125</v>
      </c>
      <c r="D136" s="64" t="s">
        <v>51</v>
      </c>
      <c r="E136" s="9">
        <v>26770.379939999999</v>
      </c>
      <c r="F136" s="9">
        <v>76</v>
      </c>
      <c r="G136" s="9">
        <v>352.24</v>
      </c>
      <c r="H136" s="9">
        <v>4.2133330000000004</v>
      </c>
      <c r="I136" s="9">
        <v>1</v>
      </c>
      <c r="J136" s="9">
        <v>1.32</v>
      </c>
      <c r="K136" s="62" t="s">
        <v>44</v>
      </c>
      <c r="L136" s="63" t="str">
        <f t="shared" si="4"/>
        <v>Mar-2017</v>
      </c>
      <c r="M136" s="29">
        <f t="shared" si="5"/>
        <v>42795</v>
      </c>
    </row>
    <row r="137" spans="1:13" ht="21" x14ac:dyDescent="0.35">
      <c r="A137" s="8">
        <v>2017</v>
      </c>
      <c r="B137" s="9">
        <v>3</v>
      </c>
      <c r="C137" s="17" t="s">
        <v>76</v>
      </c>
      <c r="D137" s="64" t="s">
        <v>43</v>
      </c>
      <c r="E137" s="9">
        <v>25995.25</v>
      </c>
      <c r="F137" s="9">
        <v>193</v>
      </c>
      <c r="G137" s="9">
        <v>134.69</v>
      </c>
      <c r="H137" s="9">
        <v>4.2760410000000002</v>
      </c>
      <c r="I137" s="9">
        <v>1</v>
      </c>
      <c r="J137" s="9">
        <v>0.52</v>
      </c>
      <c r="K137" s="62" t="s">
        <v>44</v>
      </c>
      <c r="L137" s="63" t="str">
        <f t="shared" si="4"/>
        <v>Mar-2017</v>
      </c>
      <c r="M137" s="29">
        <f t="shared" si="5"/>
        <v>42795</v>
      </c>
    </row>
    <row r="138" spans="1:13" ht="21" x14ac:dyDescent="0.35">
      <c r="A138" s="8">
        <v>2017</v>
      </c>
      <c r="B138" s="9">
        <v>3</v>
      </c>
      <c r="C138" s="17" t="s">
        <v>77</v>
      </c>
      <c r="D138" s="64" t="s">
        <v>66</v>
      </c>
      <c r="E138" s="9">
        <v>25773.019970000001</v>
      </c>
      <c r="F138" s="9">
        <v>249</v>
      </c>
      <c r="G138" s="9">
        <v>103.51</v>
      </c>
      <c r="H138" s="9">
        <v>3.9676110000000002</v>
      </c>
      <c r="I138" s="9">
        <v>0</v>
      </c>
      <c r="J138" s="9">
        <v>0</v>
      </c>
      <c r="K138" s="62" t="s">
        <v>44</v>
      </c>
      <c r="L138" s="63" t="str">
        <f t="shared" si="4"/>
        <v>Mar-2017</v>
      </c>
      <c r="M138" s="29">
        <f t="shared" si="5"/>
        <v>42795</v>
      </c>
    </row>
    <row r="139" spans="1:13" ht="21" x14ac:dyDescent="0.35">
      <c r="A139" s="8">
        <v>2017</v>
      </c>
      <c r="B139" s="9">
        <v>3</v>
      </c>
      <c r="C139" s="17" t="s">
        <v>94</v>
      </c>
      <c r="D139" s="64" t="s">
        <v>57</v>
      </c>
      <c r="E139" s="9">
        <v>23747.150010000001</v>
      </c>
      <c r="F139" s="9">
        <v>121</v>
      </c>
      <c r="G139" s="9">
        <v>196.26</v>
      </c>
      <c r="H139" s="9">
        <v>3.9915959999999999</v>
      </c>
      <c r="I139" s="9">
        <v>1</v>
      </c>
      <c r="J139" s="9">
        <v>0.83</v>
      </c>
      <c r="K139" s="62" t="s">
        <v>44</v>
      </c>
      <c r="L139" s="63" t="str">
        <f t="shared" si="4"/>
        <v>Mar-2017</v>
      </c>
      <c r="M139" s="29">
        <f t="shared" si="5"/>
        <v>42795</v>
      </c>
    </row>
    <row r="140" spans="1:13" ht="21" x14ac:dyDescent="0.35">
      <c r="A140" s="8">
        <v>2017</v>
      </c>
      <c r="B140" s="9">
        <v>3</v>
      </c>
      <c r="C140" s="17" t="s">
        <v>103</v>
      </c>
      <c r="D140" s="64" t="s">
        <v>45</v>
      </c>
      <c r="E140" s="9">
        <v>23477.630099999998</v>
      </c>
      <c r="F140" s="9">
        <v>265</v>
      </c>
      <c r="G140" s="9">
        <v>88.59</v>
      </c>
      <c r="H140" s="9">
        <v>3.9619770000000001</v>
      </c>
      <c r="I140" s="9">
        <v>1</v>
      </c>
      <c r="J140" s="9">
        <v>0.38</v>
      </c>
      <c r="K140" s="62" t="s">
        <v>44</v>
      </c>
      <c r="L140" s="63" t="str">
        <f t="shared" si="4"/>
        <v>Mar-2017</v>
      </c>
      <c r="M140" s="29">
        <f t="shared" si="5"/>
        <v>42795</v>
      </c>
    </row>
    <row r="141" spans="1:13" ht="21" x14ac:dyDescent="0.35">
      <c r="A141" s="8">
        <v>2017</v>
      </c>
      <c r="B141" s="9">
        <v>3</v>
      </c>
      <c r="C141" s="17" t="s">
        <v>109</v>
      </c>
      <c r="D141" s="64" t="s">
        <v>62</v>
      </c>
      <c r="E141" s="9">
        <v>21095.210070000001</v>
      </c>
      <c r="F141" s="9">
        <v>121</v>
      </c>
      <c r="G141" s="9">
        <v>174.34</v>
      </c>
      <c r="H141" s="9">
        <v>4.4214869999999999</v>
      </c>
      <c r="I141" s="9">
        <v>1</v>
      </c>
      <c r="J141" s="9">
        <v>0.83</v>
      </c>
      <c r="K141" s="62" t="s">
        <v>44</v>
      </c>
      <c r="L141" s="63" t="str">
        <f t="shared" si="4"/>
        <v>Mar-2017</v>
      </c>
      <c r="M141" s="29">
        <f t="shared" si="5"/>
        <v>42795</v>
      </c>
    </row>
    <row r="142" spans="1:13" ht="21" x14ac:dyDescent="0.35">
      <c r="A142" s="8">
        <v>2017</v>
      </c>
      <c r="B142" s="9">
        <v>3</v>
      </c>
      <c r="C142" s="17" t="s">
        <v>115</v>
      </c>
      <c r="D142" s="64" t="s">
        <v>48</v>
      </c>
      <c r="E142" s="9">
        <v>19808.129700000001</v>
      </c>
      <c r="F142" s="9">
        <v>104</v>
      </c>
      <c r="G142" s="9">
        <v>190.46</v>
      </c>
      <c r="H142" s="9">
        <v>4.2038830000000003</v>
      </c>
      <c r="I142" s="9">
        <v>0</v>
      </c>
      <c r="J142" s="9">
        <v>0</v>
      </c>
      <c r="K142" s="62" t="s">
        <v>44</v>
      </c>
      <c r="L142" s="63" t="str">
        <f t="shared" si="4"/>
        <v>Mar-2017</v>
      </c>
      <c r="M142" s="29">
        <f t="shared" si="5"/>
        <v>42795</v>
      </c>
    </row>
    <row r="143" spans="1:13" ht="21" x14ac:dyDescent="0.35">
      <c r="A143" s="8">
        <v>2017</v>
      </c>
      <c r="B143" s="9">
        <v>3</v>
      </c>
      <c r="C143" s="17" t="s">
        <v>118</v>
      </c>
      <c r="D143" s="64" t="s">
        <v>53</v>
      </c>
      <c r="E143" s="9">
        <v>14482.07006</v>
      </c>
      <c r="F143" s="9">
        <v>76</v>
      </c>
      <c r="G143" s="9">
        <v>190.55</v>
      </c>
      <c r="H143" s="9">
        <v>4</v>
      </c>
      <c r="I143" s="9">
        <v>5</v>
      </c>
      <c r="J143" s="9">
        <v>6.58</v>
      </c>
      <c r="K143" s="62" t="s">
        <v>44</v>
      </c>
      <c r="L143" s="63" t="str">
        <f t="shared" si="4"/>
        <v>Mar-2017</v>
      </c>
      <c r="M143" s="29">
        <f t="shared" si="5"/>
        <v>42795</v>
      </c>
    </row>
    <row r="144" spans="1:13" ht="21" x14ac:dyDescent="0.35">
      <c r="A144" s="8">
        <v>2017</v>
      </c>
      <c r="B144" s="9">
        <v>3</v>
      </c>
      <c r="C144" s="17" t="s">
        <v>120</v>
      </c>
      <c r="D144" s="64" t="s">
        <v>61</v>
      </c>
      <c r="E144" s="9">
        <v>13511.80991</v>
      </c>
      <c r="F144" s="9">
        <v>178</v>
      </c>
      <c r="G144" s="9">
        <v>75.91</v>
      </c>
      <c r="H144" s="9">
        <v>4.1158190000000001</v>
      </c>
      <c r="I144" s="9">
        <v>2</v>
      </c>
      <c r="J144" s="9">
        <v>1.1200000000000001</v>
      </c>
      <c r="K144" s="62" t="s">
        <v>44</v>
      </c>
      <c r="L144" s="63" t="str">
        <f t="shared" si="4"/>
        <v>Mar-2017</v>
      </c>
      <c r="M144" s="29">
        <f t="shared" si="5"/>
        <v>42795</v>
      </c>
    </row>
    <row r="145" spans="1:13" ht="21" x14ac:dyDescent="0.35">
      <c r="A145" s="8">
        <v>2017</v>
      </c>
      <c r="B145" s="9">
        <v>3</v>
      </c>
      <c r="C145" s="17" t="s">
        <v>124</v>
      </c>
      <c r="D145" s="64" t="s">
        <v>49</v>
      </c>
      <c r="E145" s="9">
        <v>12429.470090000001</v>
      </c>
      <c r="F145" s="9">
        <v>100</v>
      </c>
      <c r="G145" s="9">
        <v>124.29</v>
      </c>
      <c r="H145" s="9">
        <v>4.4000000000000004</v>
      </c>
      <c r="I145" s="9">
        <v>0</v>
      </c>
      <c r="J145" s="9">
        <v>0</v>
      </c>
      <c r="K145" s="62" t="s">
        <v>44</v>
      </c>
      <c r="L145" s="63" t="str">
        <f t="shared" si="4"/>
        <v>Mar-2017</v>
      </c>
      <c r="M145" s="29">
        <f t="shared" si="5"/>
        <v>42795</v>
      </c>
    </row>
    <row r="146" spans="1:13" ht="21" x14ac:dyDescent="0.35">
      <c r="A146" s="8">
        <v>2017</v>
      </c>
      <c r="B146" s="9">
        <v>3</v>
      </c>
      <c r="C146" s="17" t="s">
        <v>42</v>
      </c>
      <c r="D146" s="64" t="s">
        <v>60</v>
      </c>
      <c r="E146" s="9">
        <v>11783.51009</v>
      </c>
      <c r="F146" s="9">
        <v>60</v>
      </c>
      <c r="G146" s="9">
        <v>196.39</v>
      </c>
      <c r="H146" s="9">
        <v>3.4237280000000001</v>
      </c>
      <c r="I146" s="9">
        <v>0</v>
      </c>
      <c r="J146" s="9">
        <v>0</v>
      </c>
      <c r="K146" s="62" t="s">
        <v>44</v>
      </c>
      <c r="L146" s="63" t="str">
        <f t="shared" si="4"/>
        <v>Mar-2017</v>
      </c>
      <c r="M146" s="29">
        <f t="shared" si="5"/>
        <v>42795</v>
      </c>
    </row>
    <row r="147" spans="1:13" ht="21" x14ac:dyDescent="0.35">
      <c r="A147" s="8">
        <v>2017</v>
      </c>
      <c r="B147" s="9">
        <v>3</v>
      </c>
      <c r="C147" s="17" t="s">
        <v>47</v>
      </c>
      <c r="D147" s="64" t="s">
        <v>80</v>
      </c>
      <c r="E147" s="9">
        <v>11171.060009999999</v>
      </c>
      <c r="F147" s="9">
        <v>31</v>
      </c>
      <c r="G147" s="9">
        <v>360.36</v>
      </c>
      <c r="H147" s="9">
        <v>4.7</v>
      </c>
      <c r="I147" s="9">
        <v>0</v>
      </c>
      <c r="J147" s="9">
        <v>0</v>
      </c>
      <c r="K147" s="62" t="s">
        <v>44</v>
      </c>
      <c r="L147" s="63" t="str">
        <f t="shared" si="4"/>
        <v>Mar-2017</v>
      </c>
      <c r="M147" s="29">
        <f t="shared" si="5"/>
        <v>42795</v>
      </c>
    </row>
    <row r="148" spans="1:13" ht="21" x14ac:dyDescent="0.35">
      <c r="A148" s="8">
        <v>2017</v>
      </c>
      <c r="B148" s="9">
        <v>3</v>
      </c>
      <c r="C148" s="17" t="s">
        <v>125</v>
      </c>
      <c r="D148" s="64" t="s">
        <v>50</v>
      </c>
      <c r="E148" s="9">
        <v>10768.84001</v>
      </c>
      <c r="F148" s="9">
        <v>48</v>
      </c>
      <c r="G148" s="9">
        <v>224.35</v>
      </c>
      <c r="H148" s="9">
        <v>3.8936169999999999</v>
      </c>
      <c r="I148" s="9">
        <v>1</v>
      </c>
      <c r="J148" s="9">
        <v>2.08</v>
      </c>
      <c r="K148" s="62" t="s">
        <v>44</v>
      </c>
      <c r="L148" s="63" t="str">
        <f t="shared" si="4"/>
        <v>Mar-2017</v>
      </c>
      <c r="M148" s="29">
        <f t="shared" si="5"/>
        <v>42795</v>
      </c>
    </row>
    <row r="149" spans="1:13" ht="21" x14ac:dyDescent="0.35">
      <c r="A149" s="8">
        <v>2017</v>
      </c>
      <c r="B149" s="9">
        <v>3</v>
      </c>
      <c r="C149" s="17" t="s">
        <v>76</v>
      </c>
      <c r="D149" s="64" t="s">
        <v>64</v>
      </c>
      <c r="E149" s="9">
        <v>8369.9599990000006</v>
      </c>
      <c r="F149" s="9">
        <v>41</v>
      </c>
      <c r="G149" s="9">
        <v>204.15</v>
      </c>
      <c r="H149" s="9">
        <v>4.4146340000000004</v>
      </c>
      <c r="I149" s="9">
        <v>0</v>
      </c>
      <c r="J149" s="9">
        <v>0</v>
      </c>
      <c r="K149" s="62" t="s">
        <v>44</v>
      </c>
      <c r="L149" s="63" t="str">
        <f t="shared" si="4"/>
        <v>Mar-2017</v>
      </c>
      <c r="M149" s="29">
        <f t="shared" si="5"/>
        <v>42795</v>
      </c>
    </row>
    <row r="150" spans="1:13" ht="21" x14ac:dyDescent="0.35">
      <c r="A150" s="8">
        <v>2017</v>
      </c>
      <c r="B150" s="9">
        <v>3</v>
      </c>
      <c r="C150" s="17" t="s">
        <v>77</v>
      </c>
      <c r="D150" s="64" t="s">
        <v>46</v>
      </c>
      <c r="E150" s="9">
        <v>8121.0500140000004</v>
      </c>
      <c r="F150" s="9">
        <v>159</v>
      </c>
      <c r="G150" s="9">
        <v>51.08</v>
      </c>
      <c r="H150" s="9">
        <v>3.8993709999999999</v>
      </c>
      <c r="I150" s="9">
        <v>2</v>
      </c>
      <c r="J150" s="9">
        <v>1.26</v>
      </c>
      <c r="K150" s="62" t="s">
        <v>44</v>
      </c>
      <c r="L150" s="63" t="str">
        <f t="shared" si="4"/>
        <v>Mar-2017</v>
      </c>
      <c r="M150" s="29">
        <f t="shared" si="5"/>
        <v>42795</v>
      </c>
    </row>
    <row r="151" spans="1:13" ht="21" x14ac:dyDescent="0.35">
      <c r="A151" s="8">
        <v>2017</v>
      </c>
      <c r="B151" s="9">
        <v>3</v>
      </c>
      <c r="C151" s="17" t="s">
        <v>94</v>
      </c>
      <c r="D151" s="64" t="s">
        <v>0</v>
      </c>
      <c r="E151" s="9">
        <v>6714.1699959999996</v>
      </c>
      <c r="F151" s="9">
        <v>57</v>
      </c>
      <c r="G151" s="9">
        <v>117.79</v>
      </c>
      <c r="H151" s="9" t="s">
        <v>0</v>
      </c>
      <c r="I151" s="9" t="s">
        <v>0</v>
      </c>
      <c r="J151" s="9" t="s">
        <v>0</v>
      </c>
      <c r="K151" s="62" t="s">
        <v>44</v>
      </c>
      <c r="L151" s="63" t="str">
        <f t="shared" si="4"/>
        <v>Mar-2017</v>
      </c>
      <c r="M151" s="29">
        <f t="shared" si="5"/>
        <v>42795</v>
      </c>
    </row>
    <row r="152" spans="1:13" ht="21" x14ac:dyDescent="0.35">
      <c r="A152" s="8">
        <v>2017</v>
      </c>
      <c r="B152" s="9">
        <v>3</v>
      </c>
      <c r="C152" s="17" t="s">
        <v>103</v>
      </c>
      <c r="D152" s="64" t="s">
        <v>83</v>
      </c>
      <c r="E152" s="9">
        <v>5924.0100400000001</v>
      </c>
      <c r="F152" s="9">
        <v>35</v>
      </c>
      <c r="G152" s="9">
        <v>169.26</v>
      </c>
      <c r="H152" s="9">
        <v>4.5999999999999996</v>
      </c>
      <c r="I152" s="9">
        <v>0</v>
      </c>
      <c r="J152" s="9">
        <v>0</v>
      </c>
      <c r="K152" s="62" t="s">
        <v>44</v>
      </c>
      <c r="L152" s="63" t="str">
        <f t="shared" si="4"/>
        <v>Mar-2017</v>
      </c>
      <c r="M152" s="29">
        <f t="shared" si="5"/>
        <v>42795</v>
      </c>
    </row>
    <row r="153" spans="1:13" ht="21" x14ac:dyDescent="0.35">
      <c r="A153" s="8">
        <v>2017</v>
      </c>
      <c r="B153" s="9">
        <v>3</v>
      </c>
      <c r="C153" s="17" t="s">
        <v>109</v>
      </c>
      <c r="D153" s="64" t="s">
        <v>81</v>
      </c>
      <c r="E153" s="9">
        <v>5902.6199930000002</v>
      </c>
      <c r="F153" s="9">
        <v>56</v>
      </c>
      <c r="G153" s="9">
        <v>105.4</v>
      </c>
      <c r="H153" s="9">
        <v>4.5636359999999998</v>
      </c>
      <c r="I153" s="9">
        <v>0</v>
      </c>
      <c r="J153" s="9">
        <v>0</v>
      </c>
      <c r="K153" s="62" t="s">
        <v>44</v>
      </c>
      <c r="L153" s="63" t="str">
        <f t="shared" si="4"/>
        <v>Mar-2017</v>
      </c>
      <c r="M153" s="29">
        <f t="shared" si="5"/>
        <v>42795</v>
      </c>
    </row>
    <row r="154" spans="1:13" ht="21" x14ac:dyDescent="0.35">
      <c r="A154" s="8">
        <v>2017</v>
      </c>
      <c r="B154" s="9">
        <v>3</v>
      </c>
      <c r="C154" s="17" t="s">
        <v>115</v>
      </c>
      <c r="D154" s="64" t="s">
        <v>65</v>
      </c>
      <c r="E154" s="9">
        <v>4861.1600070000004</v>
      </c>
      <c r="F154" s="9">
        <v>62</v>
      </c>
      <c r="G154" s="9">
        <v>78.41</v>
      </c>
      <c r="H154" s="9">
        <v>4.4426220000000001</v>
      </c>
      <c r="I154" s="9">
        <v>0</v>
      </c>
      <c r="J154" s="9">
        <v>0</v>
      </c>
      <c r="K154" s="62" t="s">
        <v>44</v>
      </c>
      <c r="L154" s="63" t="str">
        <f t="shared" si="4"/>
        <v>Mar-2017</v>
      </c>
      <c r="M154" s="29">
        <f t="shared" si="5"/>
        <v>42795</v>
      </c>
    </row>
    <row r="155" spans="1:13" ht="21" x14ac:dyDescent="0.35">
      <c r="A155" s="8">
        <v>2017</v>
      </c>
      <c r="B155" s="9">
        <v>3</v>
      </c>
      <c r="C155" s="17" t="s">
        <v>118</v>
      </c>
      <c r="D155" s="64" t="s">
        <v>54</v>
      </c>
      <c r="E155" s="9">
        <v>4103.8099819999998</v>
      </c>
      <c r="F155" s="9">
        <v>16</v>
      </c>
      <c r="G155" s="9">
        <v>256.49</v>
      </c>
      <c r="H155" s="9">
        <v>4.375</v>
      </c>
      <c r="I155" s="9">
        <v>0</v>
      </c>
      <c r="J155" s="9">
        <v>0</v>
      </c>
      <c r="K155" s="62" t="s">
        <v>44</v>
      </c>
      <c r="L155" s="63" t="str">
        <f t="shared" si="4"/>
        <v>Mar-2017</v>
      </c>
      <c r="M155" s="29">
        <f t="shared" si="5"/>
        <v>42795</v>
      </c>
    </row>
    <row r="156" spans="1:13" ht="21" x14ac:dyDescent="0.35">
      <c r="A156" s="8">
        <v>2017</v>
      </c>
      <c r="B156" s="9">
        <v>3</v>
      </c>
      <c r="C156" s="17" t="s">
        <v>120</v>
      </c>
      <c r="D156" s="64" t="s">
        <v>58</v>
      </c>
      <c r="E156" s="9">
        <v>3985.9999849999999</v>
      </c>
      <c r="F156" s="9">
        <v>32</v>
      </c>
      <c r="G156" s="9">
        <v>124.56</v>
      </c>
      <c r="H156" s="9">
        <v>4.34375</v>
      </c>
      <c r="I156" s="9">
        <v>0</v>
      </c>
      <c r="J156" s="9">
        <v>0</v>
      </c>
      <c r="K156" s="62" t="s">
        <v>44</v>
      </c>
      <c r="L156" s="63" t="str">
        <f t="shared" si="4"/>
        <v>Mar-2017</v>
      </c>
      <c r="M156" s="29">
        <f t="shared" si="5"/>
        <v>42795</v>
      </c>
    </row>
    <row r="157" spans="1:13" ht="21" x14ac:dyDescent="0.35">
      <c r="A157" s="8">
        <v>2017</v>
      </c>
      <c r="B157" s="9">
        <v>3</v>
      </c>
      <c r="C157" s="17" t="s">
        <v>124</v>
      </c>
      <c r="D157" s="64" t="s">
        <v>55</v>
      </c>
      <c r="E157" s="9">
        <v>3724.0799849999999</v>
      </c>
      <c r="F157" s="9">
        <v>43</v>
      </c>
      <c r="G157" s="9">
        <v>86.61</v>
      </c>
      <c r="H157" s="9">
        <v>4.2558129999999998</v>
      </c>
      <c r="I157" s="9">
        <v>0</v>
      </c>
      <c r="J157" s="9">
        <v>0</v>
      </c>
      <c r="K157" s="62" t="s">
        <v>44</v>
      </c>
      <c r="L157" s="63" t="str">
        <f t="shared" si="4"/>
        <v>Mar-2017</v>
      </c>
      <c r="M157" s="29">
        <f t="shared" si="5"/>
        <v>42795</v>
      </c>
    </row>
    <row r="158" spans="1:13" ht="21" x14ac:dyDescent="0.35">
      <c r="A158" s="8">
        <v>2017</v>
      </c>
      <c r="B158" s="9">
        <v>3</v>
      </c>
      <c r="C158" s="17" t="s">
        <v>42</v>
      </c>
      <c r="D158" s="64" t="s">
        <v>82</v>
      </c>
      <c r="E158" s="9">
        <v>3324</v>
      </c>
      <c r="F158" s="9">
        <v>17</v>
      </c>
      <c r="G158" s="9">
        <v>195.53</v>
      </c>
      <c r="H158" s="9">
        <v>4.1875</v>
      </c>
      <c r="I158" s="9">
        <v>0</v>
      </c>
      <c r="J158" s="9">
        <v>0</v>
      </c>
      <c r="K158" s="62" t="s">
        <v>44</v>
      </c>
      <c r="L158" s="63" t="str">
        <f t="shared" si="4"/>
        <v>Mar-2017</v>
      </c>
      <c r="M158" s="29">
        <f t="shared" si="5"/>
        <v>42795</v>
      </c>
    </row>
    <row r="159" spans="1:13" ht="21" x14ac:dyDescent="0.35">
      <c r="A159" s="8">
        <v>2017</v>
      </c>
      <c r="B159" s="9">
        <v>3</v>
      </c>
      <c r="C159" s="17" t="s">
        <v>47</v>
      </c>
      <c r="D159" s="64" t="s">
        <v>72</v>
      </c>
      <c r="E159" s="9">
        <v>2667.5599609999999</v>
      </c>
      <c r="F159" s="9">
        <v>22</v>
      </c>
      <c r="G159" s="9">
        <v>121.25</v>
      </c>
      <c r="H159" s="9">
        <v>3.8636360000000001</v>
      </c>
      <c r="I159" s="9">
        <v>0</v>
      </c>
      <c r="J159" s="9">
        <v>0</v>
      </c>
      <c r="K159" s="62" t="s">
        <v>44</v>
      </c>
      <c r="L159" s="63" t="str">
        <f t="shared" si="4"/>
        <v>Mar-2017</v>
      </c>
      <c r="M159" s="29">
        <f t="shared" si="5"/>
        <v>42795</v>
      </c>
    </row>
    <row r="160" spans="1:13" ht="21" x14ac:dyDescent="0.35">
      <c r="A160" s="8">
        <v>2017</v>
      </c>
      <c r="B160" s="9">
        <v>3</v>
      </c>
      <c r="C160" s="17" t="s">
        <v>125</v>
      </c>
      <c r="D160" s="64" t="s">
        <v>71</v>
      </c>
      <c r="E160" s="9">
        <v>2648.9600019999998</v>
      </c>
      <c r="F160" s="9">
        <v>20</v>
      </c>
      <c r="G160" s="9">
        <v>132.44999999999999</v>
      </c>
      <c r="H160" s="9">
        <v>4.2</v>
      </c>
      <c r="I160" s="9">
        <v>1</v>
      </c>
      <c r="J160" s="9">
        <v>5</v>
      </c>
      <c r="K160" s="62" t="s">
        <v>44</v>
      </c>
      <c r="L160" s="63" t="str">
        <f t="shared" si="4"/>
        <v>Mar-2017</v>
      </c>
      <c r="M160" s="29">
        <f t="shared" si="5"/>
        <v>42795</v>
      </c>
    </row>
    <row r="161" spans="1:13" ht="21" x14ac:dyDescent="0.35">
      <c r="A161" s="8">
        <v>2017</v>
      </c>
      <c r="B161" s="9">
        <v>3</v>
      </c>
      <c r="C161" s="17" t="s">
        <v>76</v>
      </c>
      <c r="D161" s="64" t="s">
        <v>99</v>
      </c>
      <c r="E161" s="9">
        <v>2123.4000080000001</v>
      </c>
      <c r="F161" s="9">
        <v>12</v>
      </c>
      <c r="G161" s="9">
        <v>176.95</v>
      </c>
      <c r="H161" s="9">
        <v>3.75</v>
      </c>
      <c r="I161" s="9">
        <v>0</v>
      </c>
      <c r="J161" s="9">
        <v>0</v>
      </c>
      <c r="K161" s="62" t="s">
        <v>44</v>
      </c>
      <c r="L161" s="63" t="str">
        <f t="shared" si="4"/>
        <v>Mar-2017</v>
      </c>
      <c r="M161" s="29">
        <f t="shared" si="5"/>
        <v>42795</v>
      </c>
    </row>
    <row r="162" spans="1:13" ht="21" x14ac:dyDescent="0.35">
      <c r="A162" s="8">
        <v>2017</v>
      </c>
      <c r="B162" s="9">
        <v>3</v>
      </c>
      <c r="C162" s="17" t="s">
        <v>77</v>
      </c>
      <c r="D162" s="64" t="s">
        <v>92</v>
      </c>
      <c r="E162" s="9">
        <v>1873.6999989999999</v>
      </c>
      <c r="F162" s="9">
        <v>4</v>
      </c>
      <c r="G162" s="9">
        <v>468.42</v>
      </c>
      <c r="H162" s="9">
        <v>2.75</v>
      </c>
      <c r="I162" s="9">
        <v>1</v>
      </c>
      <c r="J162" s="9">
        <v>25</v>
      </c>
      <c r="K162" s="62" t="s">
        <v>44</v>
      </c>
      <c r="L162" s="63" t="str">
        <f t="shared" si="4"/>
        <v>Mar-2017</v>
      </c>
      <c r="M162" s="29">
        <f t="shared" si="5"/>
        <v>42795</v>
      </c>
    </row>
    <row r="163" spans="1:13" ht="21" x14ac:dyDescent="0.35">
      <c r="A163" s="8">
        <v>2017</v>
      </c>
      <c r="B163" s="9">
        <v>3</v>
      </c>
      <c r="C163" s="17" t="s">
        <v>94</v>
      </c>
      <c r="D163" s="64" t="s">
        <v>59</v>
      </c>
      <c r="E163" s="9">
        <v>1808.5899830000001</v>
      </c>
      <c r="F163" s="9">
        <v>17</v>
      </c>
      <c r="G163" s="9">
        <v>106.39</v>
      </c>
      <c r="H163" s="9">
        <v>4.4117639999999998</v>
      </c>
      <c r="I163" s="9">
        <v>0</v>
      </c>
      <c r="J163" s="9">
        <v>0</v>
      </c>
      <c r="K163" s="62" t="s">
        <v>44</v>
      </c>
      <c r="L163" s="63" t="str">
        <f t="shared" si="4"/>
        <v>Mar-2017</v>
      </c>
      <c r="M163" s="29">
        <f t="shared" si="5"/>
        <v>42795</v>
      </c>
    </row>
    <row r="164" spans="1:13" ht="21" x14ac:dyDescent="0.35">
      <c r="A164" s="8">
        <v>2017</v>
      </c>
      <c r="B164" s="9">
        <v>3</v>
      </c>
      <c r="C164" s="17" t="s">
        <v>103</v>
      </c>
      <c r="D164" s="64" t="s">
        <v>84</v>
      </c>
      <c r="E164" s="9">
        <v>1667.3299930000001</v>
      </c>
      <c r="F164" s="9">
        <v>9</v>
      </c>
      <c r="G164" s="9">
        <v>185.26</v>
      </c>
      <c r="H164" s="9">
        <v>2.8888880000000001</v>
      </c>
      <c r="I164" s="9">
        <v>0</v>
      </c>
      <c r="J164" s="9">
        <v>0</v>
      </c>
      <c r="K164" s="62" t="s">
        <v>44</v>
      </c>
      <c r="L164" s="63" t="str">
        <f t="shared" si="4"/>
        <v>Mar-2017</v>
      </c>
      <c r="M164" s="29">
        <f t="shared" si="5"/>
        <v>42795</v>
      </c>
    </row>
    <row r="165" spans="1:13" ht="21" x14ac:dyDescent="0.35">
      <c r="A165" s="8">
        <v>2017</v>
      </c>
      <c r="B165" s="9">
        <v>3</v>
      </c>
      <c r="C165" s="17" t="s">
        <v>109</v>
      </c>
      <c r="D165" s="64" t="s">
        <v>63</v>
      </c>
      <c r="E165" s="9">
        <v>1592.35004</v>
      </c>
      <c r="F165" s="9">
        <v>15</v>
      </c>
      <c r="G165" s="9">
        <v>106.16</v>
      </c>
      <c r="H165" s="9">
        <v>3.466666</v>
      </c>
      <c r="I165" s="9">
        <v>1</v>
      </c>
      <c r="J165" s="9">
        <v>6.67</v>
      </c>
      <c r="K165" s="62" t="s">
        <v>44</v>
      </c>
      <c r="L165" s="63" t="str">
        <f t="shared" si="4"/>
        <v>Mar-2017</v>
      </c>
      <c r="M165" s="29">
        <f t="shared" si="5"/>
        <v>42795</v>
      </c>
    </row>
    <row r="166" spans="1:13" ht="21" x14ac:dyDescent="0.35">
      <c r="A166" s="8">
        <v>2017</v>
      </c>
      <c r="B166" s="9">
        <v>3</v>
      </c>
      <c r="C166" s="17" t="s">
        <v>115</v>
      </c>
      <c r="D166" s="64" t="s">
        <v>74</v>
      </c>
      <c r="E166" s="9">
        <v>1514.9999809999999</v>
      </c>
      <c r="F166" s="9">
        <v>13</v>
      </c>
      <c r="G166" s="9">
        <v>116.54</v>
      </c>
      <c r="H166" s="9">
        <v>4.5384609999999999</v>
      </c>
      <c r="I166" s="9">
        <v>0</v>
      </c>
      <c r="J166" s="9">
        <v>0</v>
      </c>
      <c r="K166" s="62" t="s">
        <v>44</v>
      </c>
      <c r="L166" s="63" t="str">
        <f t="shared" si="4"/>
        <v>Mar-2017</v>
      </c>
      <c r="M166" s="29">
        <f t="shared" si="5"/>
        <v>42795</v>
      </c>
    </row>
    <row r="167" spans="1:13" ht="21" x14ac:dyDescent="0.35">
      <c r="A167" s="8">
        <v>2017</v>
      </c>
      <c r="B167" s="9">
        <v>3</v>
      </c>
      <c r="C167" s="17" t="s">
        <v>118</v>
      </c>
      <c r="D167" s="64" t="s">
        <v>69</v>
      </c>
      <c r="E167" s="9">
        <v>1134.770008</v>
      </c>
      <c r="F167" s="9">
        <v>13</v>
      </c>
      <c r="G167" s="9">
        <v>87.29</v>
      </c>
      <c r="H167" s="9">
        <v>3.8461530000000002</v>
      </c>
      <c r="I167" s="9">
        <v>0</v>
      </c>
      <c r="J167" s="9">
        <v>0</v>
      </c>
      <c r="K167" s="62" t="s">
        <v>44</v>
      </c>
      <c r="L167" s="63" t="str">
        <f t="shared" si="4"/>
        <v>Mar-2017</v>
      </c>
      <c r="M167" s="29">
        <f t="shared" si="5"/>
        <v>42795</v>
      </c>
    </row>
    <row r="168" spans="1:13" ht="21" x14ac:dyDescent="0.35">
      <c r="A168" s="8">
        <v>2017</v>
      </c>
      <c r="B168" s="9">
        <v>3</v>
      </c>
      <c r="C168" s="17" t="s">
        <v>120</v>
      </c>
      <c r="D168" s="64" t="s">
        <v>85</v>
      </c>
      <c r="E168" s="9">
        <v>773.40000150000003</v>
      </c>
      <c r="F168" s="9">
        <v>4</v>
      </c>
      <c r="G168" s="9">
        <v>193.35</v>
      </c>
      <c r="H168" s="9">
        <v>1.75</v>
      </c>
      <c r="I168" s="9">
        <v>1</v>
      </c>
      <c r="J168" s="9">
        <v>25</v>
      </c>
      <c r="K168" s="62" t="s">
        <v>44</v>
      </c>
      <c r="L168" s="63" t="str">
        <f t="shared" si="4"/>
        <v>Mar-2017</v>
      </c>
      <c r="M168" s="29">
        <f t="shared" si="5"/>
        <v>42795</v>
      </c>
    </row>
    <row r="169" spans="1:13" ht="21" x14ac:dyDescent="0.35">
      <c r="A169" s="8">
        <v>2017</v>
      </c>
      <c r="B169" s="9">
        <v>3</v>
      </c>
      <c r="C169" s="17" t="s">
        <v>124</v>
      </c>
      <c r="D169" s="64" t="s">
        <v>97</v>
      </c>
      <c r="E169" s="9">
        <v>591.96000670000001</v>
      </c>
      <c r="F169" s="9">
        <v>5</v>
      </c>
      <c r="G169" s="9">
        <v>118.39</v>
      </c>
      <c r="H169" s="9">
        <v>3.6</v>
      </c>
      <c r="I169" s="9">
        <v>0</v>
      </c>
      <c r="J169" s="9">
        <v>0</v>
      </c>
      <c r="K169" s="62" t="s">
        <v>44</v>
      </c>
      <c r="L169" s="63" t="str">
        <f t="shared" si="4"/>
        <v>Mar-2017</v>
      </c>
      <c r="M169" s="29">
        <f t="shared" si="5"/>
        <v>42795</v>
      </c>
    </row>
    <row r="170" spans="1:13" ht="21" x14ac:dyDescent="0.35">
      <c r="A170" s="8">
        <v>2017</v>
      </c>
      <c r="B170" s="9">
        <v>3</v>
      </c>
      <c r="C170" s="17" t="s">
        <v>42</v>
      </c>
      <c r="D170" s="64" t="s">
        <v>75</v>
      </c>
      <c r="E170" s="9">
        <v>580.79999729999997</v>
      </c>
      <c r="F170" s="9">
        <v>7</v>
      </c>
      <c r="G170" s="9">
        <v>82.97</v>
      </c>
      <c r="H170" s="9">
        <v>3.8571420000000001</v>
      </c>
      <c r="I170" s="9">
        <v>0</v>
      </c>
      <c r="J170" s="9">
        <v>0</v>
      </c>
      <c r="K170" s="62" t="s">
        <v>44</v>
      </c>
      <c r="L170" s="63" t="str">
        <f t="shared" si="4"/>
        <v>Mar-2017</v>
      </c>
      <c r="M170" s="29">
        <f t="shared" si="5"/>
        <v>42795</v>
      </c>
    </row>
    <row r="171" spans="1:13" ht="21" x14ac:dyDescent="0.35">
      <c r="A171" s="8">
        <v>2017</v>
      </c>
      <c r="B171" s="9">
        <v>3</v>
      </c>
      <c r="C171" s="17" t="s">
        <v>47</v>
      </c>
      <c r="D171" s="64" t="s">
        <v>79</v>
      </c>
      <c r="E171" s="9">
        <v>500.8999996</v>
      </c>
      <c r="F171" s="9">
        <v>2</v>
      </c>
      <c r="G171" s="9">
        <v>250.45</v>
      </c>
      <c r="H171" s="9">
        <v>4</v>
      </c>
      <c r="I171" s="9">
        <v>0</v>
      </c>
      <c r="J171" s="9">
        <v>0</v>
      </c>
      <c r="K171" s="62" t="s">
        <v>44</v>
      </c>
      <c r="L171" s="63" t="str">
        <f t="shared" si="4"/>
        <v>Mar-2017</v>
      </c>
      <c r="M171" s="29">
        <f t="shared" si="5"/>
        <v>42795</v>
      </c>
    </row>
    <row r="172" spans="1:13" ht="21" x14ac:dyDescent="0.35">
      <c r="A172" s="8">
        <v>2017</v>
      </c>
      <c r="B172" s="9">
        <v>3</v>
      </c>
      <c r="C172" s="17" t="s">
        <v>125</v>
      </c>
      <c r="D172" s="64" t="s">
        <v>95</v>
      </c>
      <c r="E172" s="9">
        <v>495</v>
      </c>
      <c r="F172" s="9">
        <v>5</v>
      </c>
      <c r="G172" s="9">
        <v>99</v>
      </c>
      <c r="H172" s="9">
        <v>3.2</v>
      </c>
      <c r="I172" s="9">
        <v>0</v>
      </c>
      <c r="J172" s="9">
        <v>0</v>
      </c>
      <c r="K172" s="62" t="s">
        <v>44</v>
      </c>
      <c r="L172" s="63" t="str">
        <f t="shared" si="4"/>
        <v>Mar-2017</v>
      </c>
      <c r="M172" s="29">
        <f t="shared" si="5"/>
        <v>42795</v>
      </c>
    </row>
    <row r="173" spans="1:13" ht="21" x14ac:dyDescent="0.35">
      <c r="A173" s="8">
        <v>2017</v>
      </c>
      <c r="B173" s="9">
        <v>3</v>
      </c>
      <c r="C173" s="17" t="s">
        <v>76</v>
      </c>
      <c r="D173" s="64" t="s">
        <v>104</v>
      </c>
      <c r="E173" s="9">
        <v>463.86999889999998</v>
      </c>
      <c r="F173" s="9">
        <v>4</v>
      </c>
      <c r="G173" s="9">
        <v>115.97</v>
      </c>
      <c r="H173" s="9">
        <v>3.5</v>
      </c>
      <c r="I173" s="9">
        <v>0</v>
      </c>
      <c r="J173" s="9">
        <v>0</v>
      </c>
      <c r="K173" s="62" t="s">
        <v>44</v>
      </c>
      <c r="L173" s="63" t="str">
        <f t="shared" si="4"/>
        <v>Mar-2017</v>
      </c>
      <c r="M173" s="29">
        <f t="shared" si="5"/>
        <v>42795</v>
      </c>
    </row>
    <row r="174" spans="1:13" ht="21" x14ac:dyDescent="0.35">
      <c r="A174" s="8">
        <v>2017</v>
      </c>
      <c r="B174" s="9">
        <v>3</v>
      </c>
      <c r="C174" s="17" t="s">
        <v>77</v>
      </c>
      <c r="D174" s="64" t="s">
        <v>87</v>
      </c>
      <c r="E174" s="9">
        <v>394.13999990000002</v>
      </c>
      <c r="F174" s="9">
        <v>6</v>
      </c>
      <c r="G174" s="9">
        <v>65.69</v>
      </c>
      <c r="H174" s="9">
        <v>3.8333330000000001</v>
      </c>
      <c r="I174" s="9">
        <v>0</v>
      </c>
      <c r="J174" s="9">
        <v>0</v>
      </c>
      <c r="K174" s="62" t="s">
        <v>44</v>
      </c>
      <c r="L174" s="63" t="str">
        <f t="shared" si="4"/>
        <v>Mar-2017</v>
      </c>
      <c r="M174" s="29">
        <f t="shared" si="5"/>
        <v>42795</v>
      </c>
    </row>
    <row r="175" spans="1:13" ht="21" x14ac:dyDescent="0.35">
      <c r="A175" s="8">
        <v>2017</v>
      </c>
      <c r="B175" s="9">
        <v>3</v>
      </c>
      <c r="C175" s="17" t="s">
        <v>94</v>
      </c>
      <c r="D175" s="64" t="s">
        <v>100</v>
      </c>
      <c r="E175" s="9">
        <v>380</v>
      </c>
      <c r="F175" s="9">
        <v>2</v>
      </c>
      <c r="G175" s="9">
        <v>190</v>
      </c>
      <c r="H175" s="9">
        <v>1</v>
      </c>
      <c r="I175" s="9">
        <v>0</v>
      </c>
      <c r="J175" s="9">
        <v>0</v>
      </c>
      <c r="K175" s="62" t="s">
        <v>44</v>
      </c>
      <c r="L175" s="63" t="str">
        <f t="shared" si="4"/>
        <v>Mar-2017</v>
      </c>
      <c r="M175" s="29">
        <f t="shared" si="5"/>
        <v>42795</v>
      </c>
    </row>
    <row r="176" spans="1:13" ht="21" x14ac:dyDescent="0.35">
      <c r="A176" s="8">
        <v>2017</v>
      </c>
      <c r="B176" s="9">
        <v>3</v>
      </c>
      <c r="C176" s="17" t="s">
        <v>103</v>
      </c>
      <c r="D176" s="64" t="s">
        <v>90</v>
      </c>
      <c r="E176" s="9">
        <v>342.88000299999999</v>
      </c>
      <c r="F176" s="9">
        <v>3</v>
      </c>
      <c r="G176" s="9">
        <v>114.29</v>
      </c>
      <c r="H176" s="9">
        <v>4.6666660000000002</v>
      </c>
      <c r="I176" s="9">
        <v>0</v>
      </c>
      <c r="J176" s="9">
        <v>0</v>
      </c>
      <c r="K176" s="62" t="s">
        <v>44</v>
      </c>
      <c r="L176" s="63" t="str">
        <f t="shared" si="4"/>
        <v>Mar-2017</v>
      </c>
      <c r="M176" s="29">
        <f t="shared" si="5"/>
        <v>42795</v>
      </c>
    </row>
    <row r="177" spans="1:13" ht="21" x14ac:dyDescent="0.35">
      <c r="A177" s="8">
        <v>2017</v>
      </c>
      <c r="B177" s="9">
        <v>3</v>
      </c>
      <c r="C177" s="17" t="s">
        <v>109</v>
      </c>
      <c r="D177" s="64" t="s">
        <v>96</v>
      </c>
      <c r="E177" s="9">
        <v>313.30000690000003</v>
      </c>
      <c r="F177" s="9">
        <v>9</v>
      </c>
      <c r="G177" s="9">
        <v>34.81</v>
      </c>
      <c r="H177" s="9">
        <v>4.2222220000000004</v>
      </c>
      <c r="I177" s="9">
        <v>0</v>
      </c>
      <c r="J177" s="9">
        <v>0</v>
      </c>
      <c r="K177" s="62" t="s">
        <v>44</v>
      </c>
      <c r="L177" s="63" t="str">
        <f t="shared" si="4"/>
        <v>Mar-2017</v>
      </c>
      <c r="M177" s="29">
        <f t="shared" si="5"/>
        <v>42795</v>
      </c>
    </row>
    <row r="178" spans="1:13" ht="21" x14ac:dyDescent="0.35">
      <c r="A178" s="8">
        <v>2017</v>
      </c>
      <c r="B178" s="9">
        <v>3</v>
      </c>
      <c r="C178" s="17" t="s">
        <v>115</v>
      </c>
      <c r="D178" s="64" t="s">
        <v>67</v>
      </c>
      <c r="E178" s="9">
        <v>238</v>
      </c>
      <c r="F178" s="9">
        <v>2</v>
      </c>
      <c r="G178" s="9">
        <v>119</v>
      </c>
      <c r="H178" s="9">
        <v>4</v>
      </c>
      <c r="I178" s="9">
        <v>0</v>
      </c>
      <c r="J178" s="9">
        <v>0</v>
      </c>
      <c r="K178" s="62" t="s">
        <v>44</v>
      </c>
      <c r="L178" s="63" t="str">
        <f t="shared" si="4"/>
        <v>Mar-2017</v>
      </c>
      <c r="M178" s="29">
        <f t="shared" si="5"/>
        <v>42795</v>
      </c>
    </row>
    <row r="179" spans="1:13" ht="21" x14ac:dyDescent="0.35">
      <c r="A179" s="8">
        <v>2017</v>
      </c>
      <c r="B179" s="9">
        <v>3</v>
      </c>
      <c r="C179" s="17" t="s">
        <v>118</v>
      </c>
      <c r="D179" s="64" t="s">
        <v>105</v>
      </c>
      <c r="E179" s="9">
        <v>223.25</v>
      </c>
      <c r="F179" s="9">
        <v>5</v>
      </c>
      <c r="G179" s="9">
        <v>44.65</v>
      </c>
      <c r="H179" s="9">
        <v>4</v>
      </c>
      <c r="I179" s="9">
        <v>0</v>
      </c>
      <c r="J179" s="9">
        <v>0</v>
      </c>
      <c r="K179" s="62" t="s">
        <v>44</v>
      </c>
      <c r="L179" s="63" t="str">
        <f t="shared" si="4"/>
        <v>Mar-2017</v>
      </c>
      <c r="M179" s="29">
        <f t="shared" si="5"/>
        <v>42795</v>
      </c>
    </row>
    <row r="180" spans="1:13" ht="21" x14ac:dyDescent="0.35">
      <c r="A180" s="8">
        <v>2017</v>
      </c>
      <c r="B180" s="9">
        <v>3</v>
      </c>
      <c r="C180" s="17" t="s">
        <v>120</v>
      </c>
      <c r="D180" s="64" t="s">
        <v>88</v>
      </c>
      <c r="E180" s="9">
        <v>113.98000140000001</v>
      </c>
      <c r="F180" s="9">
        <v>3</v>
      </c>
      <c r="G180" s="9">
        <v>37.99</v>
      </c>
      <c r="H180" s="9">
        <v>4</v>
      </c>
      <c r="I180" s="9">
        <v>0</v>
      </c>
      <c r="J180" s="9">
        <v>0</v>
      </c>
      <c r="K180" s="62" t="s">
        <v>44</v>
      </c>
      <c r="L180" s="63" t="str">
        <f t="shared" si="4"/>
        <v>Mar-2017</v>
      </c>
      <c r="M180" s="29">
        <f t="shared" si="5"/>
        <v>42795</v>
      </c>
    </row>
    <row r="181" spans="1:13" ht="21" x14ac:dyDescent="0.35">
      <c r="A181" s="8">
        <v>2017</v>
      </c>
      <c r="B181" s="9">
        <v>3</v>
      </c>
      <c r="C181" s="17" t="s">
        <v>124</v>
      </c>
      <c r="D181" s="64" t="s">
        <v>106</v>
      </c>
      <c r="E181" s="9">
        <v>110.7999992</v>
      </c>
      <c r="F181" s="9">
        <v>5</v>
      </c>
      <c r="G181" s="9">
        <v>22.16</v>
      </c>
      <c r="H181" s="9">
        <v>5</v>
      </c>
      <c r="I181" s="9">
        <v>1</v>
      </c>
      <c r="J181" s="9">
        <v>20</v>
      </c>
      <c r="K181" s="62" t="s">
        <v>44</v>
      </c>
      <c r="L181" s="63" t="str">
        <f t="shared" si="4"/>
        <v>Mar-2017</v>
      </c>
      <c r="M181" s="29">
        <f t="shared" si="5"/>
        <v>42795</v>
      </c>
    </row>
    <row r="182" spans="1:13" ht="21" x14ac:dyDescent="0.35">
      <c r="A182" s="8">
        <v>2017</v>
      </c>
      <c r="B182" s="9">
        <v>3</v>
      </c>
      <c r="C182" s="17" t="s">
        <v>42</v>
      </c>
      <c r="D182" s="64" t="s">
        <v>91</v>
      </c>
      <c r="E182" s="9">
        <v>81.990001680000006</v>
      </c>
      <c r="F182" s="9">
        <v>2</v>
      </c>
      <c r="G182" s="9">
        <v>41</v>
      </c>
      <c r="H182" s="9">
        <v>2</v>
      </c>
      <c r="I182" s="9">
        <v>0</v>
      </c>
      <c r="J182" s="9">
        <v>0</v>
      </c>
      <c r="K182" s="62" t="s">
        <v>44</v>
      </c>
      <c r="L182" s="63" t="str">
        <f t="shared" si="4"/>
        <v>Mar-2017</v>
      </c>
      <c r="M182" s="29">
        <f t="shared" si="5"/>
        <v>42795</v>
      </c>
    </row>
    <row r="183" spans="1:13" ht="21" x14ac:dyDescent="0.35">
      <c r="A183" s="8">
        <v>2017</v>
      </c>
      <c r="B183" s="9">
        <v>3</v>
      </c>
      <c r="C183" s="17" t="s">
        <v>47</v>
      </c>
      <c r="D183" s="64" t="s">
        <v>68</v>
      </c>
      <c r="E183" s="9">
        <v>75</v>
      </c>
      <c r="F183" s="9">
        <v>2</v>
      </c>
      <c r="G183" s="9">
        <v>37.5</v>
      </c>
      <c r="H183" s="9">
        <v>5</v>
      </c>
      <c r="I183" s="9">
        <v>0</v>
      </c>
      <c r="J183" s="9">
        <v>0</v>
      </c>
      <c r="K183" s="62" t="s">
        <v>44</v>
      </c>
      <c r="L183" s="63" t="str">
        <f t="shared" si="4"/>
        <v>Mar-2017</v>
      </c>
      <c r="M183" s="29">
        <f t="shared" si="5"/>
        <v>42795</v>
      </c>
    </row>
    <row r="184" spans="1:13" ht="21" x14ac:dyDescent="0.35">
      <c r="A184" s="8">
        <v>2017</v>
      </c>
      <c r="B184" s="9">
        <v>3</v>
      </c>
      <c r="C184" s="17" t="s">
        <v>125</v>
      </c>
      <c r="D184" s="64" t="s">
        <v>107</v>
      </c>
      <c r="E184" s="9">
        <v>75</v>
      </c>
      <c r="F184" s="9">
        <v>1</v>
      </c>
      <c r="G184" s="9">
        <v>75</v>
      </c>
      <c r="H184" s="9">
        <v>1</v>
      </c>
      <c r="I184" s="9">
        <v>0</v>
      </c>
      <c r="J184" s="9">
        <v>0</v>
      </c>
      <c r="K184" s="62" t="s">
        <v>44</v>
      </c>
      <c r="L184" s="63" t="str">
        <f t="shared" si="4"/>
        <v>Mar-2017</v>
      </c>
      <c r="M184" s="29">
        <f t="shared" si="5"/>
        <v>42795</v>
      </c>
    </row>
    <row r="185" spans="1:13" ht="21" x14ac:dyDescent="0.35">
      <c r="A185" s="8">
        <v>2017</v>
      </c>
      <c r="B185" s="9">
        <v>3</v>
      </c>
      <c r="C185" s="17" t="s">
        <v>76</v>
      </c>
      <c r="D185" s="64" t="s">
        <v>108</v>
      </c>
      <c r="E185" s="9">
        <v>39.900001529999997</v>
      </c>
      <c r="F185" s="9">
        <v>1</v>
      </c>
      <c r="G185" s="9">
        <v>39.9</v>
      </c>
      <c r="H185" s="9">
        <v>5</v>
      </c>
      <c r="I185" s="9">
        <v>0</v>
      </c>
      <c r="J185" s="9">
        <v>0</v>
      </c>
      <c r="K185" s="62" t="s">
        <v>44</v>
      </c>
      <c r="L185" s="63" t="str">
        <f t="shared" si="4"/>
        <v>Mar-2017</v>
      </c>
      <c r="M185" s="29">
        <f t="shared" si="5"/>
        <v>42795</v>
      </c>
    </row>
    <row r="186" spans="1:13" ht="21" x14ac:dyDescent="0.35">
      <c r="A186" s="8">
        <v>2017</v>
      </c>
      <c r="B186" s="9">
        <v>3</v>
      </c>
      <c r="C186" s="17" t="s">
        <v>77</v>
      </c>
      <c r="D186" s="64" t="s">
        <v>93</v>
      </c>
      <c r="E186" s="9">
        <v>27.989999770000001</v>
      </c>
      <c r="F186" s="9">
        <v>1</v>
      </c>
      <c r="G186" s="9">
        <v>27.99</v>
      </c>
      <c r="H186" s="9">
        <v>5</v>
      </c>
      <c r="I186" s="9">
        <v>0</v>
      </c>
      <c r="J186" s="9">
        <v>0</v>
      </c>
      <c r="K186" s="62" t="s">
        <v>44</v>
      </c>
      <c r="L186" s="63" t="str">
        <f t="shared" si="4"/>
        <v>Mar-2017</v>
      </c>
      <c r="M186" s="29">
        <f t="shared" si="5"/>
        <v>42795</v>
      </c>
    </row>
    <row r="187" spans="1:13" ht="21" x14ac:dyDescent="0.35">
      <c r="A187" s="8">
        <v>2017</v>
      </c>
      <c r="B187" s="9">
        <v>3</v>
      </c>
      <c r="C187" s="17" t="s">
        <v>94</v>
      </c>
      <c r="D187" s="64" t="s">
        <v>73</v>
      </c>
      <c r="E187" s="9">
        <v>19.899999619999999</v>
      </c>
      <c r="F187" s="9">
        <v>1</v>
      </c>
      <c r="G187" s="9">
        <v>19.899999999999999</v>
      </c>
      <c r="H187" s="9">
        <v>3</v>
      </c>
      <c r="I187" s="9">
        <v>0</v>
      </c>
      <c r="J187" s="9">
        <v>0</v>
      </c>
      <c r="K187" s="62" t="s">
        <v>44</v>
      </c>
      <c r="L187" s="63" t="str">
        <f t="shared" si="4"/>
        <v>Mar-2017</v>
      </c>
      <c r="M187" s="29">
        <f t="shared" si="5"/>
        <v>42795</v>
      </c>
    </row>
    <row r="188" spans="1:13" ht="21" x14ac:dyDescent="0.35">
      <c r="A188" s="8">
        <v>2017</v>
      </c>
      <c r="B188" s="9">
        <v>4</v>
      </c>
      <c r="C188" s="17" t="s">
        <v>103</v>
      </c>
      <c r="D188" s="64" t="s">
        <v>52</v>
      </c>
      <c r="E188" s="9">
        <v>24864.33</v>
      </c>
      <c r="F188" s="9">
        <v>198</v>
      </c>
      <c r="G188" s="9">
        <v>125.58</v>
      </c>
      <c r="H188" s="9">
        <v>4.0615379999999996</v>
      </c>
      <c r="I188" s="9">
        <v>4</v>
      </c>
      <c r="J188" s="9">
        <v>2.02</v>
      </c>
      <c r="K188" s="62" t="s">
        <v>44</v>
      </c>
      <c r="L188" s="63" t="str">
        <f t="shared" si="4"/>
        <v>Apr-2017</v>
      </c>
      <c r="M188" s="29">
        <f t="shared" si="5"/>
        <v>42826</v>
      </c>
    </row>
    <row r="189" spans="1:13" ht="21" x14ac:dyDescent="0.35">
      <c r="A189" s="8">
        <v>2017</v>
      </c>
      <c r="B189" s="9">
        <v>4</v>
      </c>
      <c r="C189" s="17" t="s">
        <v>109</v>
      </c>
      <c r="D189" s="64" t="s">
        <v>66</v>
      </c>
      <c r="E189" s="9">
        <v>24347.69008</v>
      </c>
      <c r="F189" s="9">
        <v>234</v>
      </c>
      <c r="G189" s="9">
        <v>104.05</v>
      </c>
      <c r="H189" s="9">
        <v>3.9871240000000001</v>
      </c>
      <c r="I189" s="9">
        <v>0</v>
      </c>
      <c r="J189" s="9">
        <v>0</v>
      </c>
      <c r="K189" s="62" t="s">
        <v>44</v>
      </c>
      <c r="L189" s="63" t="str">
        <f t="shared" si="4"/>
        <v>Apr-2017</v>
      </c>
      <c r="M189" s="29">
        <f t="shared" si="5"/>
        <v>42826</v>
      </c>
    </row>
    <row r="190" spans="1:13" ht="21" x14ac:dyDescent="0.35">
      <c r="A190" s="8">
        <v>2017</v>
      </c>
      <c r="B190" s="9">
        <v>4</v>
      </c>
      <c r="C190" s="17" t="s">
        <v>115</v>
      </c>
      <c r="D190" s="64" t="s">
        <v>51</v>
      </c>
      <c r="E190" s="9">
        <v>23487.77982</v>
      </c>
      <c r="F190" s="9">
        <v>90</v>
      </c>
      <c r="G190" s="9">
        <v>260.98</v>
      </c>
      <c r="H190" s="9">
        <v>4.0444440000000004</v>
      </c>
      <c r="I190" s="9">
        <v>1</v>
      </c>
      <c r="J190" s="9">
        <v>1.1100000000000001</v>
      </c>
      <c r="K190" s="62" t="s">
        <v>44</v>
      </c>
      <c r="L190" s="63" t="str">
        <f t="shared" si="4"/>
        <v>Apr-2017</v>
      </c>
      <c r="M190" s="29">
        <f t="shared" si="5"/>
        <v>42826</v>
      </c>
    </row>
    <row r="191" spans="1:13" ht="21" x14ac:dyDescent="0.35">
      <c r="A191" s="8">
        <v>2017</v>
      </c>
      <c r="B191" s="9">
        <v>4</v>
      </c>
      <c r="C191" s="17" t="s">
        <v>118</v>
      </c>
      <c r="D191" s="64" t="s">
        <v>80</v>
      </c>
      <c r="E191" s="9">
        <v>23253.98</v>
      </c>
      <c r="F191" s="9">
        <v>21</v>
      </c>
      <c r="G191" s="9">
        <v>1107.33</v>
      </c>
      <c r="H191" s="9">
        <v>3.7619039999999999</v>
      </c>
      <c r="I191" s="9">
        <v>0</v>
      </c>
      <c r="J191" s="9">
        <v>0</v>
      </c>
      <c r="K191" s="62" t="s">
        <v>44</v>
      </c>
      <c r="L191" s="63" t="str">
        <f t="shared" si="4"/>
        <v>Apr-2017</v>
      </c>
      <c r="M191" s="29">
        <f t="shared" si="5"/>
        <v>42826</v>
      </c>
    </row>
    <row r="192" spans="1:13" ht="21" x14ac:dyDescent="0.35">
      <c r="A192" s="8">
        <v>2017</v>
      </c>
      <c r="B192" s="9">
        <v>4</v>
      </c>
      <c r="C192" s="17" t="s">
        <v>120</v>
      </c>
      <c r="D192" s="64" t="s">
        <v>43</v>
      </c>
      <c r="E192" s="9">
        <v>22935.749909999999</v>
      </c>
      <c r="F192" s="9">
        <v>176</v>
      </c>
      <c r="G192" s="9">
        <v>130.32</v>
      </c>
      <c r="H192" s="9">
        <v>4.0689650000000004</v>
      </c>
      <c r="I192" s="9">
        <v>1</v>
      </c>
      <c r="J192" s="9">
        <v>0.56999999999999995</v>
      </c>
      <c r="K192" s="62" t="s">
        <v>44</v>
      </c>
      <c r="L192" s="63" t="str">
        <f t="shared" si="4"/>
        <v>Apr-2017</v>
      </c>
      <c r="M192" s="29">
        <f t="shared" si="5"/>
        <v>42826</v>
      </c>
    </row>
    <row r="193" spans="1:13" ht="21" x14ac:dyDescent="0.35">
      <c r="A193" s="8">
        <v>2017</v>
      </c>
      <c r="B193" s="9">
        <v>4</v>
      </c>
      <c r="C193" s="17" t="s">
        <v>124</v>
      </c>
      <c r="D193" s="64" t="s">
        <v>62</v>
      </c>
      <c r="E193" s="9">
        <v>21822.080170000001</v>
      </c>
      <c r="F193" s="9">
        <v>119</v>
      </c>
      <c r="G193" s="9">
        <v>183.38</v>
      </c>
      <c r="H193" s="9">
        <v>4</v>
      </c>
      <c r="I193" s="9">
        <v>1</v>
      </c>
      <c r="J193" s="9">
        <v>0.84</v>
      </c>
      <c r="K193" s="62" t="s">
        <v>44</v>
      </c>
      <c r="L193" s="63" t="str">
        <f t="shared" si="4"/>
        <v>Apr-2017</v>
      </c>
      <c r="M193" s="29">
        <f t="shared" si="5"/>
        <v>42826</v>
      </c>
    </row>
    <row r="194" spans="1:13" ht="21" x14ac:dyDescent="0.35">
      <c r="A194" s="8">
        <v>2017</v>
      </c>
      <c r="B194" s="9">
        <v>4</v>
      </c>
      <c r="C194" s="17" t="s">
        <v>42</v>
      </c>
      <c r="D194" s="64" t="s">
        <v>45</v>
      </c>
      <c r="E194" s="9">
        <v>21690.419910000001</v>
      </c>
      <c r="F194" s="9">
        <v>169</v>
      </c>
      <c r="G194" s="9">
        <v>128.35</v>
      </c>
      <c r="H194" s="9">
        <v>3.9640710000000001</v>
      </c>
      <c r="I194" s="9">
        <v>2</v>
      </c>
      <c r="J194" s="9">
        <v>1.18</v>
      </c>
      <c r="K194" s="62" t="s">
        <v>44</v>
      </c>
      <c r="L194" s="63" t="str">
        <f t="shared" ref="L194:L257" si="6">TEXT(DATE(A194,B194,1),"mmm-yyyy")</f>
        <v>Apr-2017</v>
      </c>
      <c r="M194" s="29">
        <f t="shared" ref="M194:M257" si="7">DATE(A194,B194,1)</f>
        <v>42826</v>
      </c>
    </row>
    <row r="195" spans="1:13" ht="21" x14ac:dyDescent="0.35">
      <c r="A195" s="8">
        <v>2017</v>
      </c>
      <c r="B195" s="9">
        <v>4</v>
      </c>
      <c r="C195" s="17" t="s">
        <v>47</v>
      </c>
      <c r="D195" s="64" t="s">
        <v>57</v>
      </c>
      <c r="E195" s="9">
        <v>20809.279979999999</v>
      </c>
      <c r="F195" s="9">
        <v>99</v>
      </c>
      <c r="G195" s="9">
        <v>210.19</v>
      </c>
      <c r="H195" s="9">
        <v>4.0505050000000002</v>
      </c>
      <c r="I195" s="9">
        <v>2</v>
      </c>
      <c r="J195" s="9">
        <v>2.02</v>
      </c>
      <c r="K195" s="62" t="s">
        <v>44</v>
      </c>
      <c r="L195" s="63" t="str">
        <f t="shared" si="6"/>
        <v>Apr-2017</v>
      </c>
      <c r="M195" s="29">
        <f t="shared" si="7"/>
        <v>42826</v>
      </c>
    </row>
    <row r="196" spans="1:13" ht="21" x14ac:dyDescent="0.35">
      <c r="A196" s="8">
        <v>2017</v>
      </c>
      <c r="B196" s="9">
        <v>4</v>
      </c>
      <c r="C196" s="17" t="s">
        <v>125</v>
      </c>
      <c r="D196" s="64" t="s">
        <v>56</v>
      </c>
      <c r="E196" s="9">
        <v>20691.060020000001</v>
      </c>
      <c r="F196" s="9">
        <v>120</v>
      </c>
      <c r="G196" s="9">
        <v>172.43</v>
      </c>
      <c r="H196" s="9">
        <v>3.949579</v>
      </c>
      <c r="I196" s="9">
        <v>1</v>
      </c>
      <c r="J196" s="9">
        <v>0.83</v>
      </c>
      <c r="K196" s="62" t="s">
        <v>44</v>
      </c>
      <c r="L196" s="63" t="str">
        <f t="shared" si="6"/>
        <v>Apr-2017</v>
      </c>
      <c r="M196" s="29">
        <f t="shared" si="7"/>
        <v>42826</v>
      </c>
    </row>
    <row r="197" spans="1:13" ht="21" x14ac:dyDescent="0.35">
      <c r="A197" s="8">
        <v>2017</v>
      </c>
      <c r="B197" s="9">
        <v>4</v>
      </c>
      <c r="C197" s="17" t="s">
        <v>76</v>
      </c>
      <c r="D197" s="64" t="s">
        <v>48</v>
      </c>
      <c r="E197" s="9">
        <v>19891.10973</v>
      </c>
      <c r="F197" s="9">
        <v>101</v>
      </c>
      <c r="G197" s="9">
        <v>196.94</v>
      </c>
      <c r="H197" s="9">
        <v>4.0396029999999996</v>
      </c>
      <c r="I197" s="9">
        <v>0</v>
      </c>
      <c r="J197" s="9">
        <v>0</v>
      </c>
      <c r="K197" s="62" t="s">
        <v>44</v>
      </c>
      <c r="L197" s="63" t="str">
        <f t="shared" si="6"/>
        <v>Apr-2017</v>
      </c>
      <c r="M197" s="29">
        <f t="shared" si="7"/>
        <v>42826</v>
      </c>
    </row>
    <row r="198" spans="1:13" ht="21" x14ac:dyDescent="0.35">
      <c r="A198" s="8">
        <v>2017</v>
      </c>
      <c r="B198" s="9">
        <v>4</v>
      </c>
      <c r="C198" s="17" t="s">
        <v>77</v>
      </c>
      <c r="D198" s="64" t="s">
        <v>53</v>
      </c>
      <c r="E198" s="9">
        <v>15548.17002</v>
      </c>
      <c r="F198" s="9">
        <v>81</v>
      </c>
      <c r="G198" s="9">
        <v>191.95</v>
      </c>
      <c r="H198" s="9">
        <v>3.9259249999999999</v>
      </c>
      <c r="I198" s="9">
        <v>0</v>
      </c>
      <c r="J198" s="9">
        <v>0</v>
      </c>
      <c r="K198" s="62" t="s">
        <v>44</v>
      </c>
      <c r="L198" s="63" t="str">
        <f t="shared" si="6"/>
        <v>Apr-2017</v>
      </c>
      <c r="M198" s="29">
        <f t="shared" si="7"/>
        <v>42826</v>
      </c>
    </row>
    <row r="199" spans="1:13" ht="21" x14ac:dyDescent="0.35">
      <c r="A199" s="8">
        <v>2017</v>
      </c>
      <c r="B199" s="9">
        <v>4</v>
      </c>
      <c r="C199" s="17" t="s">
        <v>94</v>
      </c>
      <c r="D199" s="64" t="s">
        <v>61</v>
      </c>
      <c r="E199" s="9">
        <v>15028.839980000001</v>
      </c>
      <c r="F199" s="9">
        <v>144</v>
      </c>
      <c r="G199" s="9">
        <v>104.37</v>
      </c>
      <c r="H199" s="9">
        <v>3.9652769999999999</v>
      </c>
      <c r="I199" s="9">
        <v>2</v>
      </c>
      <c r="J199" s="9">
        <v>1.39</v>
      </c>
      <c r="K199" s="62" t="s">
        <v>44</v>
      </c>
      <c r="L199" s="63" t="str">
        <f t="shared" si="6"/>
        <v>Apr-2017</v>
      </c>
      <c r="M199" s="29">
        <f t="shared" si="7"/>
        <v>42826</v>
      </c>
    </row>
    <row r="200" spans="1:13" ht="21" x14ac:dyDescent="0.35">
      <c r="A200" s="8">
        <v>2017</v>
      </c>
      <c r="B200" s="9">
        <v>4</v>
      </c>
      <c r="C200" s="17" t="s">
        <v>103</v>
      </c>
      <c r="D200" s="64" t="s">
        <v>49</v>
      </c>
      <c r="E200" s="9">
        <v>13039.42994</v>
      </c>
      <c r="F200" s="9">
        <v>103</v>
      </c>
      <c r="G200" s="9">
        <v>126.6</v>
      </c>
      <c r="H200" s="9">
        <v>4.227722</v>
      </c>
      <c r="I200" s="9">
        <v>0</v>
      </c>
      <c r="J200" s="9">
        <v>0</v>
      </c>
      <c r="K200" s="62" t="s">
        <v>44</v>
      </c>
      <c r="L200" s="63" t="str">
        <f t="shared" si="6"/>
        <v>Apr-2017</v>
      </c>
      <c r="M200" s="29">
        <f t="shared" si="7"/>
        <v>42826</v>
      </c>
    </row>
    <row r="201" spans="1:13" ht="21" x14ac:dyDescent="0.35">
      <c r="A201" s="8">
        <v>2017</v>
      </c>
      <c r="B201" s="9">
        <v>4</v>
      </c>
      <c r="C201" s="17" t="s">
        <v>109</v>
      </c>
      <c r="D201" s="64" t="s">
        <v>60</v>
      </c>
      <c r="E201" s="9">
        <v>9411.3001170000007</v>
      </c>
      <c r="F201" s="9">
        <v>48</v>
      </c>
      <c r="G201" s="9">
        <v>196.07</v>
      </c>
      <c r="H201" s="9">
        <v>3.875</v>
      </c>
      <c r="I201" s="9">
        <v>0</v>
      </c>
      <c r="J201" s="9">
        <v>0</v>
      </c>
      <c r="K201" s="62" t="s">
        <v>44</v>
      </c>
      <c r="L201" s="63" t="str">
        <f t="shared" si="6"/>
        <v>Apr-2017</v>
      </c>
      <c r="M201" s="29">
        <f t="shared" si="7"/>
        <v>42826</v>
      </c>
    </row>
    <row r="202" spans="1:13" ht="21" x14ac:dyDescent="0.35">
      <c r="A202" s="8">
        <v>2017</v>
      </c>
      <c r="B202" s="9">
        <v>4</v>
      </c>
      <c r="C202" s="17" t="s">
        <v>115</v>
      </c>
      <c r="D202" s="64" t="s">
        <v>0</v>
      </c>
      <c r="E202" s="9">
        <v>8693.0900920000004</v>
      </c>
      <c r="F202" s="9">
        <v>63</v>
      </c>
      <c r="G202" s="9">
        <v>137.99</v>
      </c>
      <c r="H202" s="9" t="s">
        <v>0</v>
      </c>
      <c r="I202" s="9" t="s">
        <v>0</v>
      </c>
      <c r="J202" s="9" t="s">
        <v>0</v>
      </c>
      <c r="K202" s="62" t="s">
        <v>44</v>
      </c>
      <c r="L202" s="63" t="str">
        <f t="shared" si="6"/>
        <v>Apr-2017</v>
      </c>
      <c r="M202" s="29">
        <f t="shared" si="7"/>
        <v>42826</v>
      </c>
    </row>
    <row r="203" spans="1:13" ht="21" x14ac:dyDescent="0.35">
      <c r="A203" s="8">
        <v>2017</v>
      </c>
      <c r="B203" s="9">
        <v>4</v>
      </c>
      <c r="C203" s="17" t="s">
        <v>118</v>
      </c>
      <c r="D203" s="64" t="s">
        <v>46</v>
      </c>
      <c r="E203" s="9">
        <v>7245.8699660000002</v>
      </c>
      <c r="F203" s="9">
        <v>141</v>
      </c>
      <c r="G203" s="9">
        <v>51.39</v>
      </c>
      <c r="H203" s="9">
        <v>4.179856</v>
      </c>
      <c r="I203" s="9">
        <v>0</v>
      </c>
      <c r="J203" s="9">
        <v>0</v>
      </c>
      <c r="K203" s="62" t="s">
        <v>44</v>
      </c>
      <c r="L203" s="63" t="str">
        <f t="shared" si="6"/>
        <v>Apr-2017</v>
      </c>
      <c r="M203" s="29">
        <f t="shared" si="7"/>
        <v>42826</v>
      </c>
    </row>
    <row r="204" spans="1:13" ht="21" x14ac:dyDescent="0.35">
      <c r="A204" s="8">
        <v>2017</v>
      </c>
      <c r="B204" s="9">
        <v>4</v>
      </c>
      <c r="C204" s="17" t="s">
        <v>120</v>
      </c>
      <c r="D204" s="64" t="s">
        <v>83</v>
      </c>
      <c r="E204" s="9">
        <v>7150.1998979999998</v>
      </c>
      <c r="F204" s="9">
        <v>47</v>
      </c>
      <c r="G204" s="9">
        <v>152.13</v>
      </c>
      <c r="H204" s="9">
        <v>4.4347820000000002</v>
      </c>
      <c r="I204" s="9">
        <v>0</v>
      </c>
      <c r="J204" s="9">
        <v>0</v>
      </c>
      <c r="K204" s="62" t="s">
        <v>44</v>
      </c>
      <c r="L204" s="63" t="str">
        <f t="shared" si="6"/>
        <v>Apr-2017</v>
      </c>
      <c r="M204" s="29">
        <f t="shared" si="7"/>
        <v>42826</v>
      </c>
    </row>
    <row r="205" spans="1:13" ht="21" x14ac:dyDescent="0.35">
      <c r="A205" s="8">
        <v>2017</v>
      </c>
      <c r="B205" s="9">
        <v>4</v>
      </c>
      <c r="C205" s="17" t="s">
        <v>124</v>
      </c>
      <c r="D205" s="64" t="s">
        <v>64</v>
      </c>
      <c r="E205" s="9">
        <v>6182.8899940000001</v>
      </c>
      <c r="F205" s="9">
        <v>46</v>
      </c>
      <c r="G205" s="9">
        <v>134.41</v>
      </c>
      <c r="H205" s="9">
        <v>4.1111110000000002</v>
      </c>
      <c r="I205" s="9">
        <v>0</v>
      </c>
      <c r="J205" s="9">
        <v>0</v>
      </c>
      <c r="K205" s="62" t="s">
        <v>44</v>
      </c>
      <c r="L205" s="63" t="str">
        <f t="shared" si="6"/>
        <v>Apr-2017</v>
      </c>
      <c r="M205" s="29">
        <f t="shared" si="7"/>
        <v>42826</v>
      </c>
    </row>
    <row r="206" spans="1:13" ht="21" x14ac:dyDescent="0.35">
      <c r="A206" s="8">
        <v>2017</v>
      </c>
      <c r="B206" s="9">
        <v>4</v>
      </c>
      <c r="C206" s="17" t="s">
        <v>42</v>
      </c>
      <c r="D206" s="64" t="s">
        <v>58</v>
      </c>
      <c r="E206" s="9">
        <v>4822.2400440000001</v>
      </c>
      <c r="F206" s="9">
        <v>47</v>
      </c>
      <c r="G206" s="9">
        <v>102.6</v>
      </c>
      <c r="H206" s="9">
        <v>4.1914889999999998</v>
      </c>
      <c r="I206" s="9">
        <v>0</v>
      </c>
      <c r="J206" s="9">
        <v>0</v>
      </c>
      <c r="K206" s="62" t="s">
        <v>44</v>
      </c>
      <c r="L206" s="63" t="str">
        <f t="shared" si="6"/>
        <v>Apr-2017</v>
      </c>
      <c r="M206" s="29">
        <f t="shared" si="7"/>
        <v>42826</v>
      </c>
    </row>
    <row r="207" spans="1:13" ht="21" x14ac:dyDescent="0.35">
      <c r="A207" s="8">
        <v>2017</v>
      </c>
      <c r="B207" s="9">
        <v>4</v>
      </c>
      <c r="C207" s="17" t="s">
        <v>47</v>
      </c>
      <c r="D207" s="64" t="s">
        <v>81</v>
      </c>
      <c r="E207" s="9">
        <v>4606.3399909999998</v>
      </c>
      <c r="F207" s="9">
        <v>36</v>
      </c>
      <c r="G207" s="9">
        <v>127.95</v>
      </c>
      <c r="H207" s="9">
        <v>4.3888879999999997</v>
      </c>
      <c r="I207" s="9">
        <v>0</v>
      </c>
      <c r="J207" s="9">
        <v>0</v>
      </c>
      <c r="K207" s="62" t="s">
        <v>44</v>
      </c>
      <c r="L207" s="63" t="str">
        <f t="shared" si="6"/>
        <v>Apr-2017</v>
      </c>
      <c r="M207" s="29">
        <f t="shared" si="7"/>
        <v>42826</v>
      </c>
    </row>
    <row r="208" spans="1:13" ht="21" x14ac:dyDescent="0.35">
      <c r="A208" s="8">
        <v>2017</v>
      </c>
      <c r="B208" s="9">
        <v>4</v>
      </c>
      <c r="C208" s="17" t="s">
        <v>125</v>
      </c>
      <c r="D208" s="64" t="s">
        <v>59</v>
      </c>
      <c r="E208" s="9">
        <v>4090.1799700000001</v>
      </c>
      <c r="F208" s="9">
        <v>20</v>
      </c>
      <c r="G208" s="9">
        <v>204.51</v>
      </c>
      <c r="H208" s="9">
        <v>3.75</v>
      </c>
      <c r="I208" s="9">
        <v>0</v>
      </c>
      <c r="J208" s="9">
        <v>0</v>
      </c>
      <c r="K208" s="62" t="s">
        <v>44</v>
      </c>
      <c r="L208" s="63" t="str">
        <f t="shared" si="6"/>
        <v>Apr-2017</v>
      </c>
      <c r="M208" s="29">
        <f t="shared" si="7"/>
        <v>42826</v>
      </c>
    </row>
    <row r="209" spans="1:13" ht="21" x14ac:dyDescent="0.35">
      <c r="A209" s="8">
        <v>2017</v>
      </c>
      <c r="B209" s="9">
        <v>4</v>
      </c>
      <c r="C209" s="17" t="s">
        <v>76</v>
      </c>
      <c r="D209" s="64" t="s">
        <v>55</v>
      </c>
      <c r="E209" s="9">
        <v>3980.4500539999999</v>
      </c>
      <c r="F209" s="9">
        <v>48</v>
      </c>
      <c r="G209" s="9">
        <v>82.93</v>
      </c>
      <c r="H209" s="9">
        <v>3.7916660000000002</v>
      </c>
      <c r="I209" s="9">
        <v>0</v>
      </c>
      <c r="J209" s="9">
        <v>0</v>
      </c>
      <c r="K209" s="62" t="s">
        <v>44</v>
      </c>
      <c r="L209" s="63" t="str">
        <f t="shared" si="6"/>
        <v>Apr-2017</v>
      </c>
      <c r="M209" s="29">
        <f t="shared" si="7"/>
        <v>42826</v>
      </c>
    </row>
    <row r="210" spans="1:13" ht="21" x14ac:dyDescent="0.35">
      <c r="A210" s="8">
        <v>2017</v>
      </c>
      <c r="B210" s="9">
        <v>4</v>
      </c>
      <c r="C210" s="17" t="s">
        <v>77</v>
      </c>
      <c r="D210" s="64" t="s">
        <v>84</v>
      </c>
      <c r="E210" s="9">
        <v>3818.4299209999999</v>
      </c>
      <c r="F210" s="9">
        <v>16</v>
      </c>
      <c r="G210" s="9">
        <v>238.65</v>
      </c>
      <c r="H210" s="9">
        <v>3.8125</v>
      </c>
      <c r="I210" s="9">
        <v>0</v>
      </c>
      <c r="J210" s="9">
        <v>0</v>
      </c>
      <c r="K210" s="62" t="s">
        <v>44</v>
      </c>
      <c r="L210" s="63" t="str">
        <f t="shared" si="6"/>
        <v>Apr-2017</v>
      </c>
      <c r="M210" s="29">
        <f t="shared" si="7"/>
        <v>42826</v>
      </c>
    </row>
    <row r="211" spans="1:13" ht="21" x14ac:dyDescent="0.35">
      <c r="A211" s="8">
        <v>2017</v>
      </c>
      <c r="B211" s="9">
        <v>4</v>
      </c>
      <c r="C211" s="17" t="s">
        <v>94</v>
      </c>
      <c r="D211" s="64" t="s">
        <v>50</v>
      </c>
      <c r="E211" s="9">
        <v>3772.8800299999998</v>
      </c>
      <c r="F211" s="9">
        <v>15</v>
      </c>
      <c r="G211" s="9">
        <v>251.53</v>
      </c>
      <c r="H211" s="9">
        <v>4.3333329999999997</v>
      </c>
      <c r="I211" s="9">
        <v>0</v>
      </c>
      <c r="J211" s="9">
        <v>0</v>
      </c>
      <c r="K211" s="62" t="s">
        <v>44</v>
      </c>
      <c r="L211" s="63" t="str">
        <f t="shared" si="6"/>
        <v>Apr-2017</v>
      </c>
      <c r="M211" s="29">
        <f t="shared" si="7"/>
        <v>42826</v>
      </c>
    </row>
    <row r="212" spans="1:13" ht="21" x14ac:dyDescent="0.35">
      <c r="A212" s="8">
        <v>2017</v>
      </c>
      <c r="B212" s="9">
        <v>4</v>
      </c>
      <c r="C212" s="17" t="s">
        <v>103</v>
      </c>
      <c r="D212" s="64" t="s">
        <v>65</v>
      </c>
      <c r="E212" s="9">
        <v>3219.8000200000001</v>
      </c>
      <c r="F212" s="9">
        <v>46</v>
      </c>
      <c r="G212" s="9">
        <v>70</v>
      </c>
      <c r="H212" s="9">
        <v>4.2173910000000001</v>
      </c>
      <c r="I212" s="9">
        <v>0</v>
      </c>
      <c r="J212" s="9">
        <v>0</v>
      </c>
      <c r="K212" s="62" t="s">
        <v>44</v>
      </c>
      <c r="L212" s="63" t="str">
        <f t="shared" si="6"/>
        <v>Apr-2017</v>
      </c>
      <c r="M212" s="29">
        <f t="shared" si="7"/>
        <v>42826</v>
      </c>
    </row>
    <row r="213" spans="1:13" ht="21" x14ac:dyDescent="0.35">
      <c r="A213" s="8">
        <v>2017</v>
      </c>
      <c r="B213" s="9">
        <v>4</v>
      </c>
      <c r="C213" s="17" t="s">
        <v>109</v>
      </c>
      <c r="D213" s="64" t="s">
        <v>63</v>
      </c>
      <c r="E213" s="9">
        <v>2998.330003</v>
      </c>
      <c r="F213" s="9">
        <v>7</v>
      </c>
      <c r="G213" s="9">
        <v>428.33</v>
      </c>
      <c r="H213" s="9">
        <v>3.7142849999999998</v>
      </c>
      <c r="I213" s="9">
        <v>0</v>
      </c>
      <c r="J213" s="9">
        <v>0</v>
      </c>
      <c r="K213" s="62" t="s">
        <v>44</v>
      </c>
      <c r="L213" s="63" t="str">
        <f t="shared" si="6"/>
        <v>Apr-2017</v>
      </c>
      <c r="M213" s="29">
        <f t="shared" si="7"/>
        <v>42826</v>
      </c>
    </row>
    <row r="214" spans="1:13" ht="21" x14ac:dyDescent="0.35">
      <c r="A214" s="8">
        <v>2017</v>
      </c>
      <c r="B214" s="9">
        <v>4</v>
      </c>
      <c r="C214" s="17" t="s">
        <v>115</v>
      </c>
      <c r="D214" s="64" t="s">
        <v>54</v>
      </c>
      <c r="E214" s="9">
        <v>2582.2300110000001</v>
      </c>
      <c r="F214" s="9">
        <v>14</v>
      </c>
      <c r="G214" s="9">
        <v>184.45</v>
      </c>
      <c r="H214" s="9">
        <v>4.5</v>
      </c>
      <c r="I214" s="9">
        <v>0</v>
      </c>
      <c r="J214" s="9">
        <v>0</v>
      </c>
      <c r="K214" s="62" t="s">
        <v>44</v>
      </c>
      <c r="L214" s="63" t="str">
        <f t="shared" si="6"/>
        <v>Apr-2017</v>
      </c>
      <c r="M214" s="29">
        <f t="shared" si="7"/>
        <v>42826</v>
      </c>
    </row>
    <row r="215" spans="1:13" ht="21" x14ac:dyDescent="0.35">
      <c r="A215" s="8">
        <v>2017</v>
      </c>
      <c r="B215" s="9">
        <v>4</v>
      </c>
      <c r="C215" s="17" t="s">
        <v>118</v>
      </c>
      <c r="D215" s="64" t="s">
        <v>99</v>
      </c>
      <c r="E215" s="9">
        <v>2411.1000060000001</v>
      </c>
      <c r="F215" s="9">
        <v>16</v>
      </c>
      <c r="G215" s="9">
        <v>150.69</v>
      </c>
      <c r="H215" s="9">
        <v>4.25</v>
      </c>
      <c r="I215" s="9">
        <v>0</v>
      </c>
      <c r="J215" s="9">
        <v>0</v>
      </c>
      <c r="K215" s="62" t="s">
        <v>44</v>
      </c>
      <c r="L215" s="63" t="str">
        <f t="shared" si="6"/>
        <v>Apr-2017</v>
      </c>
      <c r="M215" s="29">
        <f t="shared" si="7"/>
        <v>42826</v>
      </c>
    </row>
    <row r="216" spans="1:13" ht="21" x14ac:dyDescent="0.35">
      <c r="A216" s="8">
        <v>2017</v>
      </c>
      <c r="B216" s="9">
        <v>4</v>
      </c>
      <c r="C216" s="17" t="s">
        <v>120</v>
      </c>
      <c r="D216" s="64" t="s">
        <v>82</v>
      </c>
      <c r="E216" s="9">
        <v>2073.3399869999998</v>
      </c>
      <c r="F216" s="9">
        <v>11</v>
      </c>
      <c r="G216" s="9">
        <v>188.49</v>
      </c>
      <c r="H216" s="9">
        <v>4</v>
      </c>
      <c r="I216" s="9">
        <v>0</v>
      </c>
      <c r="J216" s="9">
        <v>0</v>
      </c>
      <c r="K216" s="62" t="s">
        <v>44</v>
      </c>
      <c r="L216" s="63" t="str">
        <f t="shared" si="6"/>
        <v>Apr-2017</v>
      </c>
      <c r="M216" s="29">
        <f t="shared" si="7"/>
        <v>42826</v>
      </c>
    </row>
    <row r="217" spans="1:13" ht="21" x14ac:dyDescent="0.35">
      <c r="A217" s="8">
        <v>2017</v>
      </c>
      <c r="B217" s="9">
        <v>4</v>
      </c>
      <c r="C217" s="17" t="s">
        <v>124</v>
      </c>
      <c r="D217" s="64" t="s">
        <v>97</v>
      </c>
      <c r="E217" s="9">
        <v>1602.689957</v>
      </c>
      <c r="F217" s="9">
        <v>5</v>
      </c>
      <c r="G217" s="9">
        <v>320.54000000000002</v>
      </c>
      <c r="H217" s="9">
        <v>4.2</v>
      </c>
      <c r="I217" s="9">
        <v>0</v>
      </c>
      <c r="J217" s="9">
        <v>0</v>
      </c>
      <c r="K217" s="62" t="s">
        <v>44</v>
      </c>
      <c r="L217" s="63" t="str">
        <f t="shared" si="6"/>
        <v>Apr-2017</v>
      </c>
      <c r="M217" s="29">
        <f t="shared" si="7"/>
        <v>42826</v>
      </c>
    </row>
    <row r="218" spans="1:13" ht="21" x14ac:dyDescent="0.35">
      <c r="A218" s="8">
        <v>2017</v>
      </c>
      <c r="B218" s="9">
        <v>4</v>
      </c>
      <c r="C218" s="17" t="s">
        <v>42</v>
      </c>
      <c r="D218" s="64" t="s">
        <v>74</v>
      </c>
      <c r="E218" s="9">
        <v>1526.499998</v>
      </c>
      <c r="F218" s="9">
        <v>20</v>
      </c>
      <c r="G218" s="9">
        <v>76.319999999999993</v>
      </c>
      <c r="H218" s="9">
        <v>4.6315780000000002</v>
      </c>
      <c r="I218" s="9">
        <v>0</v>
      </c>
      <c r="J218" s="9">
        <v>0</v>
      </c>
      <c r="K218" s="62" t="s">
        <v>44</v>
      </c>
      <c r="L218" s="63" t="str">
        <f t="shared" si="6"/>
        <v>Apr-2017</v>
      </c>
      <c r="M218" s="29">
        <f t="shared" si="7"/>
        <v>42826</v>
      </c>
    </row>
    <row r="219" spans="1:13" ht="21" x14ac:dyDescent="0.35">
      <c r="A219" s="8">
        <v>2017</v>
      </c>
      <c r="B219" s="9">
        <v>4</v>
      </c>
      <c r="C219" s="17" t="s">
        <v>47</v>
      </c>
      <c r="D219" s="64" t="s">
        <v>98</v>
      </c>
      <c r="E219" s="9">
        <v>1490.2100559999999</v>
      </c>
      <c r="F219" s="9">
        <v>7</v>
      </c>
      <c r="G219" s="9">
        <v>212.89</v>
      </c>
      <c r="H219" s="9">
        <v>4.4285709999999998</v>
      </c>
      <c r="I219" s="9">
        <v>0</v>
      </c>
      <c r="J219" s="9">
        <v>0</v>
      </c>
      <c r="K219" s="62" t="s">
        <v>44</v>
      </c>
      <c r="L219" s="63" t="str">
        <f t="shared" si="6"/>
        <v>Apr-2017</v>
      </c>
      <c r="M219" s="29">
        <f t="shared" si="7"/>
        <v>42826</v>
      </c>
    </row>
    <row r="220" spans="1:13" ht="21" x14ac:dyDescent="0.35">
      <c r="A220" s="8">
        <v>2017</v>
      </c>
      <c r="B220" s="9">
        <v>4</v>
      </c>
      <c r="C220" s="17" t="s">
        <v>125</v>
      </c>
      <c r="D220" s="64" t="s">
        <v>92</v>
      </c>
      <c r="E220" s="9">
        <v>1434.9</v>
      </c>
      <c r="F220" s="9">
        <v>2</v>
      </c>
      <c r="G220" s="9">
        <v>717.45</v>
      </c>
      <c r="H220" s="9">
        <v>5</v>
      </c>
      <c r="I220" s="9">
        <v>0</v>
      </c>
      <c r="J220" s="9">
        <v>0</v>
      </c>
      <c r="K220" s="62" t="s">
        <v>44</v>
      </c>
      <c r="L220" s="63" t="str">
        <f t="shared" si="6"/>
        <v>Apr-2017</v>
      </c>
      <c r="M220" s="29">
        <f t="shared" si="7"/>
        <v>42826</v>
      </c>
    </row>
    <row r="221" spans="1:13" ht="21" x14ac:dyDescent="0.35">
      <c r="A221" s="8">
        <v>2017</v>
      </c>
      <c r="B221" s="9">
        <v>4</v>
      </c>
      <c r="C221" s="17" t="s">
        <v>76</v>
      </c>
      <c r="D221" s="64" t="s">
        <v>95</v>
      </c>
      <c r="E221" s="9">
        <v>1112.880011</v>
      </c>
      <c r="F221" s="9">
        <v>9</v>
      </c>
      <c r="G221" s="9">
        <v>123.65</v>
      </c>
      <c r="H221" s="9">
        <v>4</v>
      </c>
      <c r="I221" s="9">
        <v>0</v>
      </c>
      <c r="J221" s="9">
        <v>0</v>
      </c>
      <c r="K221" s="62" t="s">
        <v>44</v>
      </c>
      <c r="L221" s="63" t="str">
        <f t="shared" si="6"/>
        <v>Apr-2017</v>
      </c>
      <c r="M221" s="29">
        <f t="shared" si="7"/>
        <v>42826</v>
      </c>
    </row>
    <row r="222" spans="1:13" ht="21" x14ac:dyDescent="0.35">
      <c r="A222" s="8">
        <v>2017</v>
      </c>
      <c r="B222" s="9">
        <v>4</v>
      </c>
      <c r="C222" s="17" t="s">
        <v>77</v>
      </c>
      <c r="D222" s="64" t="s">
        <v>88</v>
      </c>
      <c r="E222" s="9">
        <v>1033.400005</v>
      </c>
      <c r="F222" s="9">
        <v>8</v>
      </c>
      <c r="G222" s="9">
        <v>129.18</v>
      </c>
      <c r="H222" s="9">
        <v>4.125</v>
      </c>
      <c r="I222" s="9">
        <v>0</v>
      </c>
      <c r="J222" s="9">
        <v>0</v>
      </c>
      <c r="K222" s="62" t="s">
        <v>44</v>
      </c>
      <c r="L222" s="63" t="str">
        <f t="shared" si="6"/>
        <v>Apr-2017</v>
      </c>
      <c r="M222" s="29">
        <f t="shared" si="7"/>
        <v>42826</v>
      </c>
    </row>
    <row r="223" spans="1:13" ht="21" x14ac:dyDescent="0.35">
      <c r="A223" s="8">
        <v>2017</v>
      </c>
      <c r="B223" s="9">
        <v>4</v>
      </c>
      <c r="C223" s="17" t="s">
        <v>94</v>
      </c>
      <c r="D223" s="64" t="s">
        <v>69</v>
      </c>
      <c r="E223" s="9">
        <v>942.20000460000006</v>
      </c>
      <c r="F223" s="9">
        <v>9</v>
      </c>
      <c r="G223" s="9">
        <v>104.69</v>
      </c>
      <c r="H223" s="9">
        <v>3.4444439999999998</v>
      </c>
      <c r="I223" s="9">
        <v>0</v>
      </c>
      <c r="J223" s="9">
        <v>0</v>
      </c>
      <c r="K223" s="62" t="s">
        <v>44</v>
      </c>
      <c r="L223" s="63" t="str">
        <f t="shared" si="6"/>
        <v>Apr-2017</v>
      </c>
      <c r="M223" s="29">
        <f t="shared" si="7"/>
        <v>42826</v>
      </c>
    </row>
    <row r="224" spans="1:13" ht="21" x14ac:dyDescent="0.35">
      <c r="A224" s="8">
        <v>2017</v>
      </c>
      <c r="B224" s="9">
        <v>4</v>
      </c>
      <c r="C224" s="17" t="s">
        <v>103</v>
      </c>
      <c r="D224" s="64" t="s">
        <v>71</v>
      </c>
      <c r="E224" s="9">
        <v>923.38000869999996</v>
      </c>
      <c r="F224" s="9">
        <v>12</v>
      </c>
      <c r="G224" s="9">
        <v>76.95</v>
      </c>
      <c r="H224" s="9">
        <v>4.6666660000000002</v>
      </c>
      <c r="I224" s="9">
        <v>0</v>
      </c>
      <c r="J224" s="9">
        <v>0</v>
      </c>
      <c r="K224" s="62" t="s">
        <v>44</v>
      </c>
      <c r="L224" s="63" t="str">
        <f t="shared" si="6"/>
        <v>Apr-2017</v>
      </c>
      <c r="M224" s="29">
        <f t="shared" si="7"/>
        <v>42826</v>
      </c>
    </row>
    <row r="225" spans="1:13" ht="21" x14ac:dyDescent="0.35">
      <c r="A225" s="8">
        <v>2017</v>
      </c>
      <c r="B225" s="9">
        <v>4</v>
      </c>
      <c r="C225" s="17" t="s">
        <v>109</v>
      </c>
      <c r="D225" s="64" t="s">
        <v>89</v>
      </c>
      <c r="E225" s="9">
        <v>858.96000670000001</v>
      </c>
      <c r="F225" s="9">
        <v>4</v>
      </c>
      <c r="G225" s="9">
        <v>214.74</v>
      </c>
      <c r="H225" s="9">
        <v>1.75</v>
      </c>
      <c r="I225" s="9">
        <v>0</v>
      </c>
      <c r="J225" s="9">
        <v>0</v>
      </c>
      <c r="K225" s="62" t="s">
        <v>44</v>
      </c>
      <c r="L225" s="63" t="str">
        <f t="shared" si="6"/>
        <v>Apr-2017</v>
      </c>
      <c r="M225" s="29">
        <f t="shared" si="7"/>
        <v>42826</v>
      </c>
    </row>
    <row r="226" spans="1:13" ht="21" x14ac:dyDescent="0.35">
      <c r="A226" s="8">
        <v>2017</v>
      </c>
      <c r="B226" s="9">
        <v>4</v>
      </c>
      <c r="C226" s="17" t="s">
        <v>115</v>
      </c>
      <c r="D226" s="64" t="s">
        <v>79</v>
      </c>
      <c r="E226" s="9">
        <v>799.79998780000005</v>
      </c>
      <c r="F226" s="9">
        <v>2</v>
      </c>
      <c r="G226" s="9">
        <v>399.9</v>
      </c>
      <c r="H226" s="9">
        <v>2.5</v>
      </c>
      <c r="I226" s="9">
        <v>0</v>
      </c>
      <c r="J226" s="9">
        <v>0</v>
      </c>
      <c r="K226" s="62" t="s">
        <v>44</v>
      </c>
      <c r="L226" s="63" t="str">
        <f t="shared" si="6"/>
        <v>Apr-2017</v>
      </c>
      <c r="M226" s="29">
        <f t="shared" si="7"/>
        <v>42826</v>
      </c>
    </row>
    <row r="227" spans="1:13" ht="21" x14ac:dyDescent="0.35">
      <c r="A227" s="8">
        <v>2017</v>
      </c>
      <c r="B227" s="9">
        <v>4</v>
      </c>
      <c r="C227" s="17" t="s">
        <v>118</v>
      </c>
      <c r="D227" s="64" t="s">
        <v>110</v>
      </c>
      <c r="E227" s="9">
        <v>729</v>
      </c>
      <c r="F227" s="9">
        <v>1</v>
      </c>
      <c r="G227" s="9">
        <v>729</v>
      </c>
      <c r="H227" s="9">
        <v>5</v>
      </c>
      <c r="I227" s="9">
        <v>0</v>
      </c>
      <c r="J227" s="9">
        <v>0</v>
      </c>
      <c r="K227" s="62" t="s">
        <v>44</v>
      </c>
      <c r="L227" s="63" t="str">
        <f t="shared" si="6"/>
        <v>Apr-2017</v>
      </c>
      <c r="M227" s="29">
        <f t="shared" si="7"/>
        <v>42826</v>
      </c>
    </row>
    <row r="228" spans="1:13" ht="21" x14ac:dyDescent="0.35">
      <c r="A228" s="8">
        <v>2017</v>
      </c>
      <c r="B228" s="9">
        <v>4</v>
      </c>
      <c r="C228" s="17" t="s">
        <v>120</v>
      </c>
      <c r="D228" s="64" t="s">
        <v>96</v>
      </c>
      <c r="E228" s="9">
        <v>499.4000092</v>
      </c>
      <c r="F228" s="9">
        <v>9</v>
      </c>
      <c r="G228" s="9">
        <v>55.49</v>
      </c>
      <c r="H228" s="9">
        <v>4.3333329999999997</v>
      </c>
      <c r="I228" s="9">
        <v>0</v>
      </c>
      <c r="J228" s="9">
        <v>0</v>
      </c>
      <c r="K228" s="62" t="s">
        <v>44</v>
      </c>
      <c r="L228" s="63" t="str">
        <f t="shared" si="6"/>
        <v>Apr-2017</v>
      </c>
      <c r="M228" s="29">
        <f t="shared" si="7"/>
        <v>42826</v>
      </c>
    </row>
    <row r="229" spans="1:13" ht="21" x14ac:dyDescent="0.35">
      <c r="A229" s="8">
        <v>2017</v>
      </c>
      <c r="B229" s="9">
        <v>4</v>
      </c>
      <c r="C229" s="17" t="s">
        <v>124</v>
      </c>
      <c r="D229" s="64" t="s">
        <v>72</v>
      </c>
      <c r="E229" s="9">
        <v>491.2999992</v>
      </c>
      <c r="F229" s="9">
        <v>8</v>
      </c>
      <c r="G229" s="9">
        <v>61.41</v>
      </c>
      <c r="H229" s="9">
        <v>4.25</v>
      </c>
      <c r="I229" s="9">
        <v>0</v>
      </c>
      <c r="J229" s="9">
        <v>0</v>
      </c>
      <c r="K229" s="62" t="s">
        <v>44</v>
      </c>
      <c r="L229" s="63" t="str">
        <f t="shared" si="6"/>
        <v>Apr-2017</v>
      </c>
      <c r="M229" s="29">
        <f t="shared" si="7"/>
        <v>42826</v>
      </c>
    </row>
    <row r="230" spans="1:13" ht="21" x14ac:dyDescent="0.35">
      <c r="A230" s="8">
        <v>2017</v>
      </c>
      <c r="B230" s="9">
        <v>4</v>
      </c>
      <c r="C230" s="17" t="s">
        <v>42</v>
      </c>
      <c r="D230" s="64" t="s">
        <v>75</v>
      </c>
      <c r="E230" s="9">
        <v>416.68999669999999</v>
      </c>
      <c r="F230" s="9">
        <v>6</v>
      </c>
      <c r="G230" s="9">
        <v>69.45</v>
      </c>
      <c r="H230" s="9">
        <v>3.8333330000000001</v>
      </c>
      <c r="I230" s="9">
        <v>0</v>
      </c>
      <c r="J230" s="9">
        <v>0</v>
      </c>
      <c r="K230" s="62" t="s">
        <v>44</v>
      </c>
      <c r="L230" s="63" t="str">
        <f t="shared" si="6"/>
        <v>Apr-2017</v>
      </c>
      <c r="M230" s="29">
        <f t="shared" si="7"/>
        <v>42826</v>
      </c>
    </row>
    <row r="231" spans="1:13" ht="21" x14ac:dyDescent="0.35">
      <c r="A231" s="8">
        <v>2017</v>
      </c>
      <c r="B231" s="9">
        <v>4</v>
      </c>
      <c r="C231" s="17" t="s">
        <v>47</v>
      </c>
      <c r="D231" s="64" t="s">
        <v>111</v>
      </c>
      <c r="E231" s="9">
        <v>259.98001099999999</v>
      </c>
      <c r="F231" s="9">
        <v>2</v>
      </c>
      <c r="G231" s="9">
        <v>129.99</v>
      </c>
      <c r="H231" s="9">
        <v>2.5</v>
      </c>
      <c r="I231" s="9">
        <v>0</v>
      </c>
      <c r="J231" s="9">
        <v>0</v>
      </c>
      <c r="K231" s="62" t="s">
        <v>44</v>
      </c>
      <c r="L231" s="63" t="str">
        <f t="shared" si="6"/>
        <v>Apr-2017</v>
      </c>
      <c r="M231" s="29">
        <f t="shared" si="7"/>
        <v>42826</v>
      </c>
    </row>
    <row r="232" spans="1:13" ht="21" x14ac:dyDescent="0.35">
      <c r="A232" s="8">
        <v>2017</v>
      </c>
      <c r="B232" s="9">
        <v>4</v>
      </c>
      <c r="C232" s="17" t="s">
        <v>125</v>
      </c>
      <c r="D232" s="64" t="s">
        <v>104</v>
      </c>
      <c r="E232" s="9">
        <v>199.92999649999999</v>
      </c>
      <c r="F232" s="9">
        <v>2</v>
      </c>
      <c r="G232" s="9">
        <v>99.96</v>
      </c>
      <c r="H232" s="9">
        <v>1</v>
      </c>
      <c r="I232" s="9">
        <v>0</v>
      </c>
      <c r="J232" s="9">
        <v>0</v>
      </c>
      <c r="K232" s="62" t="s">
        <v>44</v>
      </c>
      <c r="L232" s="63" t="str">
        <f t="shared" si="6"/>
        <v>Apr-2017</v>
      </c>
      <c r="M232" s="29">
        <f t="shared" si="7"/>
        <v>42826</v>
      </c>
    </row>
    <row r="233" spans="1:13" ht="21" x14ac:dyDescent="0.35">
      <c r="A233" s="8">
        <v>2017</v>
      </c>
      <c r="B233" s="9">
        <v>4</v>
      </c>
      <c r="C233" s="17" t="s">
        <v>76</v>
      </c>
      <c r="D233" s="64" t="s">
        <v>108</v>
      </c>
      <c r="E233" s="9">
        <v>189.78000069999999</v>
      </c>
      <c r="F233" s="9">
        <v>4</v>
      </c>
      <c r="G233" s="9">
        <v>47.45</v>
      </c>
      <c r="H233" s="9">
        <v>3.5</v>
      </c>
      <c r="I233" s="9">
        <v>0</v>
      </c>
      <c r="J233" s="9">
        <v>0</v>
      </c>
      <c r="K233" s="62" t="s">
        <v>44</v>
      </c>
      <c r="L233" s="63" t="str">
        <f t="shared" si="6"/>
        <v>Apr-2017</v>
      </c>
      <c r="M233" s="29">
        <f t="shared" si="7"/>
        <v>42826</v>
      </c>
    </row>
    <row r="234" spans="1:13" ht="21" x14ac:dyDescent="0.35">
      <c r="A234" s="8">
        <v>2017</v>
      </c>
      <c r="B234" s="9">
        <v>4</v>
      </c>
      <c r="C234" s="17" t="s">
        <v>77</v>
      </c>
      <c r="D234" s="64" t="s">
        <v>107</v>
      </c>
      <c r="E234" s="9">
        <v>128.0599995</v>
      </c>
      <c r="F234" s="9">
        <v>3</v>
      </c>
      <c r="G234" s="9">
        <v>42.69</v>
      </c>
      <c r="H234" s="9">
        <v>4.6666660000000002</v>
      </c>
      <c r="I234" s="9">
        <v>0</v>
      </c>
      <c r="J234" s="9">
        <v>0</v>
      </c>
      <c r="K234" s="62" t="s">
        <v>44</v>
      </c>
      <c r="L234" s="63" t="str">
        <f t="shared" si="6"/>
        <v>Apr-2017</v>
      </c>
      <c r="M234" s="29">
        <f t="shared" si="7"/>
        <v>42826</v>
      </c>
    </row>
    <row r="235" spans="1:13" ht="21" x14ac:dyDescent="0.35">
      <c r="A235" s="8">
        <v>2017</v>
      </c>
      <c r="B235" s="9">
        <v>4</v>
      </c>
      <c r="C235" s="17" t="s">
        <v>94</v>
      </c>
      <c r="D235" s="64" t="s">
        <v>105</v>
      </c>
      <c r="E235" s="9">
        <v>119.9000015</v>
      </c>
      <c r="F235" s="9">
        <v>1</v>
      </c>
      <c r="G235" s="9">
        <v>119.9</v>
      </c>
      <c r="H235" s="9">
        <v>4</v>
      </c>
      <c r="I235" s="9">
        <v>0</v>
      </c>
      <c r="J235" s="9">
        <v>0</v>
      </c>
      <c r="K235" s="62" t="s">
        <v>44</v>
      </c>
      <c r="L235" s="63" t="str">
        <f t="shared" si="6"/>
        <v>Apr-2017</v>
      </c>
      <c r="M235" s="29">
        <f t="shared" si="7"/>
        <v>42826</v>
      </c>
    </row>
    <row r="236" spans="1:13" ht="21" x14ac:dyDescent="0.35">
      <c r="A236" s="8">
        <v>2017</v>
      </c>
      <c r="B236" s="9">
        <v>4</v>
      </c>
      <c r="C236" s="17" t="s">
        <v>103</v>
      </c>
      <c r="D236" s="64" t="s">
        <v>102</v>
      </c>
      <c r="E236" s="9">
        <v>118</v>
      </c>
      <c r="F236" s="9">
        <v>2</v>
      </c>
      <c r="G236" s="9">
        <v>59</v>
      </c>
      <c r="H236" s="9">
        <v>5</v>
      </c>
      <c r="I236" s="9">
        <v>0</v>
      </c>
      <c r="J236" s="9">
        <v>0</v>
      </c>
      <c r="K236" s="62" t="s">
        <v>44</v>
      </c>
      <c r="L236" s="63" t="str">
        <f t="shared" si="6"/>
        <v>Apr-2017</v>
      </c>
      <c r="M236" s="29">
        <f t="shared" si="7"/>
        <v>42826</v>
      </c>
    </row>
    <row r="237" spans="1:13" ht="21" x14ac:dyDescent="0.35">
      <c r="A237" s="8">
        <v>2017</v>
      </c>
      <c r="B237" s="9">
        <v>4</v>
      </c>
      <c r="C237" s="17" t="s">
        <v>109</v>
      </c>
      <c r="D237" s="64" t="s">
        <v>112</v>
      </c>
      <c r="E237" s="9">
        <v>109.4000015</v>
      </c>
      <c r="F237" s="9">
        <v>1</v>
      </c>
      <c r="G237" s="9">
        <v>109.4</v>
      </c>
      <c r="H237" s="9">
        <v>4</v>
      </c>
      <c r="I237" s="9">
        <v>0</v>
      </c>
      <c r="J237" s="9">
        <v>0</v>
      </c>
      <c r="K237" s="62" t="s">
        <v>44</v>
      </c>
      <c r="L237" s="63" t="str">
        <f t="shared" si="6"/>
        <v>Apr-2017</v>
      </c>
      <c r="M237" s="29">
        <f t="shared" si="7"/>
        <v>42826</v>
      </c>
    </row>
    <row r="238" spans="1:13" ht="21" x14ac:dyDescent="0.35">
      <c r="A238" s="8">
        <v>2017</v>
      </c>
      <c r="B238" s="9">
        <v>4</v>
      </c>
      <c r="C238" s="17" t="s">
        <v>115</v>
      </c>
      <c r="D238" s="64" t="s">
        <v>87</v>
      </c>
      <c r="E238" s="9">
        <v>98.789999960000003</v>
      </c>
      <c r="F238" s="9">
        <v>4</v>
      </c>
      <c r="G238" s="9">
        <v>24.7</v>
      </c>
      <c r="H238" s="9">
        <v>3.5</v>
      </c>
      <c r="I238" s="9">
        <v>0</v>
      </c>
      <c r="J238" s="9">
        <v>0</v>
      </c>
      <c r="K238" s="62" t="s">
        <v>44</v>
      </c>
      <c r="L238" s="63" t="str">
        <f t="shared" si="6"/>
        <v>Apr-2017</v>
      </c>
      <c r="M238" s="29">
        <f t="shared" si="7"/>
        <v>42826</v>
      </c>
    </row>
    <row r="239" spans="1:13" ht="21" x14ac:dyDescent="0.35">
      <c r="A239" s="8">
        <v>2017</v>
      </c>
      <c r="B239" s="9">
        <v>4</v>
      </c>
      <c r="C239" s="17" t="s">
        <v>118</v>
      </c>
      <c r="D239" s="64" t="s">
        <v>68</v>
      </c>
      <c r="E239" s="9">
        <v>75</v>
      </c>
      <c r="F239" s="9">
        <v>1</v>
      </c>
      <c r="G239" s="9">
        <v>75</v>
      </c>
      <c r="H239" s="9">
        <v>4</v>
      </c>
      <c r="I239" s="9">
        <v>0</v>
      </c>
      <c r="J239" s="9">
        <v>0</v>
      </c>
      <c r="K239" s="62" t="s">
        <v>44</v>
      </c>
      <c r="L239" s="63" t="str">
        <f t="shared" si="6"/>
        <v>Apr-2017</v>
      </c>
      <c r="M239" s="29">
        <f t="shared" si="7"/>
        <v>42826</v>
      </c>
    </row>
    <row r="240" spans="1:13" ht="21" x14ac:dyDescent="0.35">
      <c r="A240" s="8">
        <v>2017</v>
      </c>
      <c r="B240" s="9">
        <v>4</v>
      </c>
      <c r="C240" s="17" t="s">
        <v>120</v>
      </c>
      <c r="D240" s="64" t="s">
        <v>113</v>
      </c>
      <c r="E240" s="9">
        <v>69</v>
      </c>
      <c r="F240" s="9">
        <v>1</v>
      </c>
      <c r="G240" s="9">
        <v>69</v>
      </c>
      <c r="H240" s="9">
        <v>5</v>
      </c>
      <c r="I240" s="9">
        <v>0</v>
      </c>
      <c r="J240" s="9">
        <v>0</v>
      </c>
      <c r="K240" s="62" t="s">
        <v>44</v>
      </c>
      <c r="L240" s="63" t="str">
        <f t="shared" si="6"/>
        <v>Apr-2017</v>
      </c>
      <c r="M240" s="29">
        <f t="shared" si="7"/>
        <v>42826</v>
      </c>
    </row>
    <row r="241" spans="1:13" ht="21" x14ac:dyDescent="0.35">
      <c r="A241" s="8">
        <v>2017</v>
      </c>
      <c r="B241" s="9">
        <v>4</v>
      </c>
      <c r="C241" s="17" t="s">
        <v>124</v>
      </c>
      <c r="D241" s="64" t="s">
        <v>73</v>
      </c>
      <c r="E241" s="9">
        <v>64.900001529999997</v>
      </c>
      <c r="F241" s="9">
        <v>1</v>
      </c>
      <c r="G241" s="9">
        <v>64.900000000000006</v>
      </c>
      <c r="H241" s="9">
        <v>2</v>
      </c>
      <c r="I241" s="9">
        <v>0</v>
      </c>
      <c r="J241" s="9">
        <v>0</v>
      </c>
      <c r="K241" s="62" t="s">
        <v>44</v>
      </c>
      <c r="L241" s="63" t="str">
        <f t="shared" si="6"/>
        <v>Apr-2017</v>
      </c>
      <c r="M241" s="29">
        <f t="shared" si="7"/>
        <v>42826</v>
      </c>
    </row>
    <row r="242" spans="1:13" ht="21" x14ac:dyDescent="0.35">
      <c r="A242" s="8">
        <v>2017</v>
      </c>
      <c r="B242" s="9">
        <v>4</v>
      </c>
      <c r="C242" s="17" t="s">
        <v>42</v>
      </c>
      <c r="D242" s="64" t="s">
        <v>93</v>
      </c>
      <c r="E242" s="9">
        <v>59.800001139999999</v>
      </c>
      <c r="F242" s="9">
        <v>2</v>
      </c>
      <c r="G242" s="9">
        <v>29.9</v>
      </c>
      <c r="H242" s="9">
        <v>5</v>
      </c>
      <c r="I242" s="9">
        <v>0</v>
      </c>
      <c r="J242" s="9">
        <v>0</v>
      </c>
      <c r="K242" s="62" t="s">
        <v>44</v>
      </c>
      <c r="L242" s="63" t="str">
        <f t="shared" si="6"/>
        <v>Apr-2017</v>
      </c>
      <c r="M242" s="29">
        <f t="shared" si="7"/>
        <v>42826</v>
      </c>
    </row>
    <row r="243" spans="1:13" ht="21" x14ac:dyDescent="0.35">
      <c r="A243" s="8">
        <v>2017</v>
      </c>
      <c r="B243" s="9">
        <v>4</v>
      </c>
      <c r="C243" s="17" t="s">
        <v>47</v>
      </c>
      <c r="D243" s="64" t="s">
        <v>106</v>
      </c>
      <c r="E243" s="9">
        <v>47.899999620000003</v>
      </c>
      <c r="F243" s="9">
        <v>2</v>
      </c>
      <c r="G243" s="9">
        <v>23.95</v>
      </c>
      <c r="H243" s="9">
        <v>3.5</v>
      </c>
      <c r="I243" s="9">
        <v>0</v>
      </c>
      <c r="J243" s="9">
        <v>0</v>
      </c>
      <c r="K243" s="62" t="s">
        <v>44</v>
      </c>
      <c r="L243" s="63" t="str">
        <f t="shared" si="6"/>
        <v>Apr-2017</v>
      </c>
      <c r="M243" s="29">
        <f t="shared" si="7"/>
        <v>42826</v>
      </c>
    </row>
    <row r="244" spans="1:13" ht="21" x14ac:dyDescent="0.35">
      <c r="A244" s="8">
        <v>2017</v>
      </c>
      <c r="B244" s="9">
        <v>4</v>
      </c>
      <c r="C244" s="17" t="s">
        <v>125</v>
      </c>
      <c r="D244" s="64" t="s">
        <v>114</v>
      </c>
      <c r="E244" s="9">
        <v>24</v>
      </c>
      <c r="F244" s="9">
        <v>1</v>
      </c>
      <c r="G244" s="9">
        <v>24</v>
      </c>
      <c r="H244" s="9">
        <v>1</v>
      </c>
      <c r="I244" s="9">
        <v>0</v>
      </c>
      <c r="J244" s="9">
        <v>0</v>
      </c>
      <c r="K244" s="62" t="s">
        <v>44</v>
      </c>
      <c r="L244" s="63" t="str">
        <f t="shared" si="6"/>
        <v>Apr-2017</v>
      </c>
      <c r="M244" s="29">
        <f t="shared" si="7"/>
        <v>42826</v>
      </c>
    </row>
    <row r="245" spans="1:13" ht="21" x14ac:dyDescent="0.35">
      <c r="A245" s="8">
        <v>2017</v>
      </c>
      <c r="B245" s="9">
        <v>4</v>
      </c>
      <c r="C245" s="17" t="s">
        <v>76</v>
      </c>
      <c r="D245" s="64" t="s">
        <v>101</v>
      </c>
      <c r="E245" s="9">
        <v>19.989999770000001</v>
      </c>
      <c r="F245" s="9">
        <v>1</v>
      </c>
      <c r="G245" s="9">
        <v>19.989999999999998</v>
      </c>
      <c r="H245" s="9">
        <v>1</v>
      </c>
      <c r="I245" s="9">
        <v>0</v>
      </c>
      <c r="J245" s="9">
        <v>0</v>
      </c>
      <c r="K245" s="62" t="s">
        <v>44</v>
      </c>
      <c r="L245" s="63" t="str">
        <f t="shared" si="6"/>
        <v>Apr-2017</v>
      </c>
      <c r="M245" s="29">
        <f t="shared" si="7"/>
        <v>42826</v>
      </c>
    </row>
    <row r="246" spans="1:13" ht="21" x14ac:dyDescent="0.35">
      <c r="A246" s="8">
        <v>2017</v>
      </c>
      <c r="B246" s="9">
        <v>4</v>
      </c>
      <c r="C246" s="17" t="s">
        <v>77</v>
      </c>
      <c r="D246" s="64" t="s">
        <v>90</v>
      </c>
      <c r="E246" s="9">
        <v>12.899999619999999</v>
      </c>
      <c r="F246" s="9">
        <v>1</v>
      </c>
      <c r="G246" s="9">
        <v>12.9</v>
      </c>
      <c r="H246" s="9">
        <v>5</v>
      </c>
      <c r="I246" s="9">
        <v>0</v>
      </c>
      <c r="J246" s="9">
        <v>0</v>
      </c>
      <c r="K246" s="62" t="s">
        <v>44</v>
      </c>
      <c r="L246" s="63" t="str">
        <f t="shared" si="6"/>
        <v>Apr-2017</v>
      </c>
      <c r="M246" s="29">
        <f t="shared" si="7"/>
        <v>42826</v>
      </c>
    </row>
    <row r="247" spans="1:13" ht="21" x14ac:dyDescent="0.35">
      <c r="A247" s="8">
        <v>2017</v>
      </c>
      <c r="B247" s="9">
        <v>5</v>
      </c>
      <c r="C247" s="17" t="s">
        <v>94</v>
      </c>
      <c r="D247" s="64" t="s">
        <v>43</v>
      </c>
      <c r="E247" s="9">
        <v>46786.019749999999</v>
      </c>
      <c r="F247" s="9">
        <v>267</v>
      </c>
      <c r="G247" s="9">
        <v>175.23</v>
      </c>
      <c r="H247" s="9">
        <v>4.2196959999999999</v>
      </c>
      <c r="I247" s="9">
        <v>0</v>
      </c>
      <c r="J247" s="9">
        <v>0</v>
      </c>
      <c r="K247" s="62" t="s">
        <v>44</v>
      </c>
      <c r="L247" s="63" t="str">
        <f t="shared" si="6"/>
        <v>May-2017</v>
      </c>
      <c r="M247" s="29">
        <f t="shared" si="7"/>
        <v>42856</v>
      </c>
    </row>
    <row r="248" spans="1:13" ht="21" x14ac:dyDescent="0.35">
      <c r="A248" s="8">
        <v>2017</v>
      </c>
      <c r="B248" s="9">
        <v>5</v>
      </c>
      <c r="C248" s="17" t="s">
        <v>103</v>
      </c>
      <c r="D248" s="64" t="s">
        <v>56</v>
      </c>
      <c r="E248" s="9">
        <v>45634.779869999998</v>
      </c>
      <c r="F248" s="9">
        <v>260</v>
      </c>
      <c r="G248" s="9">
        <v>175.52</v>
      </c>
      <c r="H248" s="9">
        <v>4.2857139999999996</v>
      </c>
      <c r="I248" s="9">
        <v>2</v>
      </c>
      <c r="J248" s="9">
        <v>0.77</v>
      </c>
      <c r="K248" s="62" t="s">
        <v>44</v>
      </c>
      <c r="L248" s="63" t="str">
        <f t="shared" si="6"/>
        <v>May-2017</v>
      </c>
      <c r="M248" s="29">
        <f t="shared" si="7"/>
        <v>42856</v>
      </c>
    </row>
    <row r="249" spans="1:13" ht="21" x14ac:dyDescent="0.35">
      <c r="A249" s="8">
        <v>2017</v>
      </c>
      <c r="B249" s="9">
        <v>5</v>
      </c>
      <c r="C249" s="17" t="s">
        <v>109</v>
      </c>
      <c r="D249" s="64" t="s">
        <v>51</v>
      </c>
      <c r="E249" s="9">
        <v>37973.899790000003</v>
      </c>
      <c r="F249" s="9">
        <v>126</v>
      </c>
      <c r="G249" s="9">
        <v>301.38</v>
      </c>
      <c r="H249" s="9">
        <v>4.273809</v>
      </c>
      <c r="I249" s="9">
        <v>1</v>
      </c>
      <c r="J249" s="9">
        <v>0.79</v>
      </c>
      <c r="K249" s="62" t="s">
        <v>44</v>
      </c>
      <c r="L249" s="63" t="str">
        <f t="shared" si="6"/>
        <v>May-2017</v>
      </c>
      <c r="M249" s="29">
        <f t="shared" si="7"/>
        <v>42856</v>
      </c>
    </row>
    <row r="250" spans="1:13" ht="21" x14ac:dyDescent="0.35">
      <c r="A250" s="8">
        <v>2017</v>
      </c>
      <c r="B250" s="9">
        <v>5</v>
      </c>
      <c r="C250" s="17" t="s">
        <v>115</v>
      </c>
      <c r="D250" s="64" t="s">
        <v>52</v>
      </c>
      <c r="E250" s="9">
        <v>36163.499920000002</v>
      </c>
      <c r="F250" s="9">
        <v>266</v>
      </c>
      <c r="G250" s="9">
        <v>135.94999999999999</v>
      </c>
      <c r="H250" s="9">
        <v>4.1711020000000003</v>
      </c>
      <c r="I250" s="9">
        <v>3</v>
      </c>
      <c r="J250" s="9">
        <v>1.1299999999999999</v>
      </c>
      <c r="K250" s="62" t="s">
        <v>44</v>
      </c>
      <c r="L250" s="63" t="str">
        <f t="shared" si="6"/>
        <v>May-2017</v>
      </c>
      <c r="M250" s="29">
        <f t="shared" si="7"/>
        <v>42856</v>
      </c>
    </row>
    <row r="251" spans="1:13" ht="21" x14ac:dyDescent="0.35">
      <c r="A251" s="8">
        <v>2017</v>
      </c>
      <c r="B251" s="9">
        <v>5</v>
      </c>
      <c r="C251" s="17" t="s">
        <v>118</v>
      </c>
      <c r="D251" s="64" t="s">
        <v>62</v>
      </c>
      <c r="E251" s="9">
        <v>33696.470150000001</v>
      </c>
      <c r="F251" s="9">
        <v>236</v>
      </c>
      <c r="G251" s="9">
        <v>142.78</v>
      </c>
      <c r="H251" s="9">
        <v>4.1936169999999997</v>
      </c>
      <c r="I251" s="9">
        <v>1</v>
      </c>
      <c r="J251" s="9">
        <v>0.42</v>
      </c>
      <c r="K251" s="62" t="s">
        <v>44</v>
      </c>
      <c r="L251" s="63" t="str">
        <f t="shared" si="6"/>
        <v>May-2017</v>
      </c>
      <c r="M251" s="29">
        <f t="shared" si="7"/>
        <v>42856</v>
      </c>
    </row>
    <row r="252" spans="1:13" ht="21" x14ac:dyDescent="0.35">
      <c r="A252" s="8">
        <v>2017</v>
      </c>
      <c r="B252" s="9">
        <v>5</v>
      </c>
      <c r="C252" s="17" t="s">
        <v>120</v>
      </c>
      <c r="D252" s="64" t="s">
        <v>66</v>
      </c>
      <c r="E252" s="9">
        <v>33346.450129999997</v>
      </c>
      <c r="F252" s="9">
        <v>329</v>
      </c>
      <c r="G252" s="9">
        <v>101.36</v>
      </c>
      <c r="H252" s="9">
        <v>4.1102480000000003</v>
      </c>
      <c r="I252" s="9">
        <v>1</v>
      </c>
      <c r="J252" s="9">
        <v>0.3</v>
      </c>
      <c r="K252" s="62" t="s">
        <v>44</v>
      </c>
      <c r="L252" s="63" t="str">
        <f t="shared" si="6"/>
        <v>May-2017</v>
      </c>
      <c r="M252" s="29">
        <f t="shared" si="7"/>
        <v>42856</v>
      </c>
    </row>
    <row r="253" spans="1:13" ht="21" x14ac:dyDescent="0.35">
      <c r="A253" s="8">
        <v>2017</v>
      </c>
      <c r="B253" s="9">
        <v>5</v>
      </c>
      <c r="C253" s="17" t="s">
        <v>124</v>
      </c>
      <c r="D253" s="64" t="s">
        <v>45</v>
      </c>
      <c r="E253" s="9">
        <v>24028.509979999999</v>
      </c>
      <c r="F253" s="9">
        <v>234</v>
      </c>
      <c r="G253" s="9">
        <v>102.69</v>
      </c>
      <c r="H253" s="9">
        <v>3.9502160000000002</v>
      </c>
      <c r="I253" s="9">
        <v>0</v>
      </c>
      <c r="J253" s="9">
        <v>0</v>
      </c>
      <c r="K253" s="62" t="s">
        <v>44</v>
      </c>
      <c r="L253" s="63" t="str">
        <f t="shared" si="6"/>
        <v>May-2017</v>
      </c>
      <c r="M253" s="29">
        <f t="shared" si="7"/>
        <v>42856</v>
      </c>
    </row>
    <row r="254" spans="1:13" ht="21" x14ac:dyDescent="0.35">
      <c r="A254" s="8">
        <v>2017</v>
      </c>
      <c r="B254" s="9">
        <v>5</v>
      </c>
      <c r="C254" s="17" t="s">
        <v>42</v>
      </c>
      <c r="D254" s="64" t="s">
        <v>49</v>
      </c>
      <c r="E254" s="9">
        <v>22626.949929999999</v>
      </c>
      <c r="F254" s="9">
        <v>196</v>
      </c>
      <c r="G254" s="9">
        <v>115.44</v>
      </c>
      <c r="H254" s="9">
        <v>4.489795</v>
      </c>
      <c r="I254" s="9">
        <v>2</v>
      </c>
      <c r="J254" s="9">
        <v>1.02</v>
      </c>
      <c r="K254" s="62" t="s">
        <v>44</v>
      </c>
      <c r="L254" s="63" t="str">
        <f t="shared" si="6"/>
        <v>May-2017</v>
      </c>
      <c r="M254" s="29">
        <f t="shared" si="7"/>
        <v>42856</v>
      </c>
    </row>
    <row r="255" spans="1:13" ht="21" x14ac:dyDescent="0.35">
      <c r="A255" s="8">
        <v>2017</v>
      </c>
      <c r="B255" s="9">
        <v>5</v>
      </c>
      <c r="C255" s="17" t="s">
        <v>47</v>
      </c>
      <c r="D255" s="64" t="s">
        <v>61</v>
      </c>
      <c r="E255" s="9">
        <v>21726.480070000001</v>
      </c>
      <c r="F255" s="9">
        <v>264</v>
      </c>
      <c r="G255" s="9">
        <v>82.3</v>
      </c>
      <c r="H255" s="9">
        <v>4.1863109999999999</v>
      </c>
      <c r="I255" s="9">
        <v>3</v>
      </c>
      <c r="J255" s="9">
        <v>1.1399999999999999</v>
      </c>
      <c r="K255" s="62" t="s">
        <v>44</v>
      </c>
      <c r="L255" s="63" t="str">
        <f t="shared" si="6"/>
        <v>May-2017</v>
      </c>
      <c r="M255" s="29">
        <f t="shared" si="7"/>
        <v>42856</v>
      </c>
    </row>
    <row r="256" spans="1:13" ht="21" x14ac:dyDescent="0.35">
      <c r="A256" s="8">
        <v>2017</v>
      </c>
      <c r="B256" s="9">
        <v>5</v>
      </c>
      <c r="C256" s="17" t="s">
        <v>125</v>
      </c>
      <c r="D256" s="64" t="s">
        <v>57</v>
      </c>
      <c r="E256" s="9">
        <v>20693.459989999999</v>
      </c>
      <c r="F256" s="9">
        <v>124</v>
      </c>
      <c r="G256" s="9">
        <v>166.88</v>
      </c>
      <c r="H256" s="9">
        <v>4.1885240000000001</v>
      </c>
      <c r="I256" s="9">
        <v>1</v>
      </c>
      <c r="J256" s="9">
        <v>0.81</v>
      </c>
      <c r="K256" s="62" t="s">
        <v>44</v>
      </c>
      <c r="L256" s="63" t="str">
        <f t="shared" si="6"/>
        <v>May-2017</v>
      </c>
      <c r="M256" s="29">
        <f t="shared" si="7"/>
        <v>42856</v>
      </c>
    </row>
    <row r="257" spans="1:13" ht="21" x14ac:dyDescent="0.35">
      <c r="A257" s="8">
        <v>2017</v>
      </c>
      <c r="B257" s="9">
        <v>5</v>
      </c>
      <c r="C257" s="17" t="s">
        <v>76</v>
      </c>
      <c r="D257" s="64" t="s">
        <v>48</v>
      </c>
      <c r="E257" s="9">
        <v>20119.039669999998</v>
      </c>
      <c r="F257" s="9">
        <v>134</v>
      </c>
      <c r="G257" s="9">
        <v>150.13999999999999</v>
      </c>
      <c r="H257" s="9">
        <v>4.1742419999999996</v>
      </c>
      <c r="I257" s="9">
        <v>0</v>
      </c>
      <c r="J257" s="9">
        <v>0</v>
      </c>
      <c r="K257" s="62" t="s">
        <v>44</v>
      </c>
      <c r="L257" s="63" t="str">
        <f t="shared" si="6"/>
        <v>May-2017</v>
      </c>
      <c r="M257" s="29">
        <f t="shared" si="7"/>
        <v>42856</v>
      </c>
    </row>
    <row r="258" spans="1:13" ht="21" x14ac:dyDescent="0.35">
      <c r="A258" s="8">
        <v>2017</v>
      </c>
      <c r="B258" s="9">
        <v>5</v>
      </c>
      <c r="C258" s="17" t="s">
        <v>77</v>
      </c>
      <c r="D258" s="64" t="s">
        <v>53</v>
      </c>
      <c r="E258" s="9">
        <v>18640.03009</v>
      </c>
      <c r="F258" s="9">
        <v>106</v>
      </c>
      <c r="G258" s="9">
        <v>175.85</v>
      </c>
      <c r="H258" s="9">
        <v>4.0476190000000001</v>
      </c>
      <c r="I258" s="9">
        <v>3</v>
      </c>
      <c r="J258" s="9">
        <v>2.83</v>
      </c>
      <c r="K258" s="62" t="s">
        <v>44</v>
      </c>
      <c r="L258" s="63" t="str">
        <f t="shared" ref="L258:L321" si="8">TEXT(DATE(A258,B258,1),"mmm-yyyy")</f>
        <v>May-2017</v>
      </c>
      <c r="M258" s="29">
        <f t="shared" ref="M258:M321" si="9">DATE(A258,B258,1)</f>
        <v>42856</v>
      </c>
    </row>
    <row r="259" spans="1:13" ht="21" x14ac:dyDescent="0.35">
      <c r="A259" s="8">
        <v>2017</v>
      </c>
      <c r="B259" s="9">
        <v>5</v>
      </c>
      <c r="C259" s="17" t="s">
        <v>94</v>
      </c>
      <c r="D259" s="64" t="s">
        <v>83</v>
      </c>
      <c r="E259" s="9">
        <v>12539.62003</v>
      </c>
      <c r="F259" s="9">
        <v>64</v>
      </c>
      <c r="G259" s="9">
        <v>195.93</v>
      </c>
      <c r="H259" s="9">
        <v>4.375</v>
      </c>
      <c r="I259" s="9">
        <v>0</v>
      </c>
      <c r="J259" s="9">
        <v>0</v>
      </c>
      <c r="K259" s="62" t="s">
        <v>44</v>
      </c>
      <c r="L259" s="63" t="str">
        <f t="shared" si="8"/>
        <v>May-2017</v>
      </c>
      <c r="M259" s="29">
        <f t="shared" si="9"/>
        <v>42856</v>
      </c>
    </row>
    <row r="260" spans="1:13" ht="21" x14ac:dyDescent="0.35">
      <c r="A260" s="8">
        <v>2017</v>
      </c>
      <c r="B260" s="9">
        <v>5</v>
      </c>
      <c r="C260" s="17" t="s">
        <v>103</v>
      </c>
      <c r="D260" s="64" t="s">
        <v>0</v>
      </c>
      <c r="E260" s="9">
        <v>10961.94003</v>
      </c>
      <c r="F260" s="9">
        <v>86</v>
      </c>
      <c r="G260" s="9">
        <v>127.46</v>
      </c>
      <c r="H260" s="9" t="s">
        <v>0</v>
      </c>
      <c r="I260" s="9" t="s">
        <v>0</v>
      </c>
      <c r="J260" s="9" t="s">
        <v>0</v>
      </c>
      <c r="K260" s="62" t="s">
        <v>44</v>
      </c>
      <c r="L260" s="63" t="str">
        <f t="shared" si="8"/>
        <v>May-2017</v>
      </c>
      <c r="M260" s="29">
        <f t="shared" si="9"/>
        <v>42856</v>
      </c>
    </row>
    <row r="261" spans="1:13" ht="21" x14ac:dyDescent="0.35">
      <c r="A261" s="8">
        <v>2017</v>
      </c>
      <c r="B261" s="9">
        <v>5</v>
      </c>
      <c r="C261" s="17" t="s">
        <v>109</v>
      </c>
      <c r="D261" s="64" t="s">
        <v>84</v>
      </c>
      <c r="E261" s="9">
        <v>10019.429899999999</v>
      </c>
      <c r="F261" s="9">
        <v>19</v>
      </c>
      <c r="G261" s="9">
        <v>527.34</v>
      </c>
      <c r="H261" s="9">
        <v>4.2105259999999998</v>
      </c>
      <c r="I261" s="9">
        <v>0</v>
      </c>
      <c r="J261" s="9">
        <v>0</v>
      </c>
      <c r="K261" s="62" t="s">
        <v>44</v>
      </c>
      <c r="L261" s="63" t="str">
        <f t="shared" si="8"/>
        <v>May-2017</v>
      </c>
      <c r="M261" s="29">
        <f t="shared" si="9"/>
        <v>42856</v>
      </c>
    </row>
    <row r="262" spans="1:13" ht="21" x14ac:dyDescent="0.35">
      <c r="A262" s="8">
        <v>2017</v>
      </c>
      <c r="B262" s="9">
        <v>5</v>
      </c>
      <c r="C262" s="17" t="s">
        <v>115</v>
      </c>
      <c r="D262" s="64" t="s">
        <v>55</v>
      </c>
      <c r="E262" s="9">
        <v>9849.5100540000003</v>
      </c>
      <c r="F262" s="9">
        <v>102</v>
      </c>
      <c r="G262" s="9">
        <v>96.56</v>
      </c>
      <c r="H262" s="9">
        <v>4.24</v>
      </c>
      <c r="I262" s="9">
        <v>0</v>
      </c>
      <c r="J262" s="9">
        <v>0</v>
      </c>
      <c r="K262" s="62" t="s">
        <v>44</v>
      </c>
      <c r="L262" s="63" t="str">
        <f t="shared" si="8"/>
        <v>May-2017</v>
      </c>
      <c r="M262" s="29">
        <f t="shared" si="9"/>
        <v>42856</v>
      </c>
    </row>
    <row r="263" spans="1:13" ht="21" x14ac:dyDescent="0.35">
      <c r="A263" s="8">
        <v>2017</v>
      </c>
      <c r="B263" s="9">
        <v>5</v>
      </c>
      <c r="C263" s="17" t="s">
        <v>118</v>
      </c>
      <c r="D263" s="64" t="s">
        <v>46</v>
      </c>
      <c r="E263" s="9">
        <v>9264.0999800000009</v>
      </c>
      <c r="F263" s="9">
        <v>204</v>
      </c>
      <c r="G263" s="9">
        <v>45.41</v>
      </c>
      <c r="H263" s="9">
        <v>3.896039</v>
      </c>
      <c r="I263" s="9">
        <v>2</v>
      </c>
      <c r="J263" s="9">
        <v>0.98</v>
      </c>
      <c r="K263" s="62" t="s">
        <v>44</v>
      </c>
      <c r="L263" s="63" t="str">
        <f t="shared" si="8"/>
        <v>May-2017</v>
      </c>
      <c r="M263" s="29">
        <f t="shared" si="9"/>
        <v>42856</v>
      </c>
    </row>
    <row r="264" spans="1:13" ht="21" x14ac:dyDescent="0.35">
      <c r="A264" s="8">
        <v>2017</v>
      </c>
      <c r="B264" s="9">
        <v>5</v>
      </c>
      <c r="C264" s="17" t="s">
        <v>120</v>
      </c>
      <c r="D264" s="64" t="s">
        <v>60</v>
      </c>
      <c r="E264" s="9">
        <v>8403.4300160000003</v>
      </c>
      <c r="F264" s="9">
        <v>42</v>
      </c>
      <c r="G264" s="9">
        <v>200.08</v>
      </c>
      <c r="H264" s="9">
        <v>3.8333330000000001</v>
      </c>
      <c r="I264" s="9">
        <v>0</v>
      </c>
      <c r="J264" s="9">
        <v>0</v>
      </c>
      <c r="K264" s="62" t="s">
        <v>44</v>
      </c>
      <c r="L264" s="63" t="str">
        <f t="shared" si="8"/>
        <v>May-2017</v>
      </c>
      <c r="M264" s="29">
        <f t="shared" si="9"/>
        <v>42856</v>
      </c>
    </row>
    <row r="265" spans="1:13" ht="21" x14ac:dyDescent="0.35">
      <c r="A265" s="8">
        <v>2017</v>
      </c>
      <c r="B265" s="9">
        <v>5</v>
      </c>
      <c r="C265" s="17" t="s">
        <v>124</v>
      </c>
      <c r="D265" s="64" t="s">
        <v>64</v>
      </c>
      <c r="E265" s="9">
        <v>8151.019929</v>
      </c>
      <c r="F265" s="9">
        <v>66</v>
      </c>
      <c r="G265" s="9">
        <v>123.5</v>
      </c>
      <c r="H265" s="9">
        <v>4.4393929999999999</v>
      </c>
      <c r="I265" s="9">
        <v>0</v>
      </c>
      <c r="J265" s="9">
        <v>0</v>
      </c>
      <c r="K265" s="62" t="s">
        <v>44</v>
      </c>
      <c r="L265" s="63" t="str">
        <f t="shared" si="8"/>
        <v>May-2017</v>
      </c>
      <c r="M265" s="29">
        <f t="shared" si="9"/>
        <v>42856</v>
      </c>
    </row>
    <row r="266" spans="1:13" ht="21" x14ac:dyDescent="0.35">
      <c r="A266" s="8">
        <v>2017</v>
      </c>
      <c r="B266" s="9">
        <v>5</v>
      </c>
      <c r="C266" s="17" t="s">
        <v>42</v>
      </c>
      <c r="D266" s="64" t="s">
        <v>65</v>
      </c>
      <c r="E266" s="9">
        <v>7498.6700330000003</v>
      </c>
      <c r="F266" s="9">
        <v>97</v>
      </c>
      <c r="G266" s="9">
        <v>77.31</v>
      </c>
      <c r="H266" s="9">
        <v>4.1052629999999999</v>
      </c>
      <c r="I266" s="9">
        <v>0</v>
      </c>
      <c r="J266" s="9">
        <v>0</v>
      </c>
      <c r="K266" s="62" t="s">
        <v>44</v>
      </c>
      <c r="L266" s="63" t="str">
        <f t="shared" si="8"/>
        <v>May-2017</v>
      </c>
      <c r="M266" s="29">
        <f t="shared" si="9"/>
        <v>42856</v>
      </c>
    </row>
    <row r="267" spans="1:13" ht="21" x14ac:dyDescent="0.35">
      <c r="A267" s="8">
        <v>2017</v>
      </c>
      <c r="B267" s="9">
        <v>5</v>
      </c>
      <c r="C267" s="17" t="s">
        <v>47</v>
      </c>
      <c r="D267" s="64" t="s">
        <v>105</v>
      </c>
      <c r="E267" s="9">
        <v>6967.650009</v>
      </c>
      <c r="F267" s="9">
        <v>8</v>
      </c>
      <c r="G267" s="9">
        <v>870.96</v>
      </c>
      <c r="H267" s="9">
        <v>4.5</v>
      </c>
      <c r="I267" s="9">
        <v>0</v>
      </c>
      <c r="J267" s="9">
        <v>0</v>
      </c>
      <c r="K267" s="62" t="s">
        <v>44</v>
      </c>
      <c r="L267" s="63" t="str">
        <f t="shared" si="8"/>
        <v>May-2017</v>
      </c>
      <c r="M267" s="29">
        <f t="shared" si="9"/>
        <v>42856</v>
      </c>
    </row>
    <row r="268" spans="1:13" ht="21" x14ac:dyDescent="0.35">
      <c r="A268" s="8">
        <v>2017</v>
      </c>
      <c r="B268" s="9">
        <v>5</v>
      </c>
      <c r="C268" s="17" t="s">
        <v>125</v>
      </c>
      <c r="D268" s="64" t="s">
        <v>58</v>
      </c>
      <c r="E268" s="9">
        <v>6709.1099620000005</v>
      </c>
      <c r="F268" s="9">
        <v>62</v>
      </c>
      <c r="G268" s="9">
        <v>108.21</v>
      </c>
      <c r="H268" s="9">
        <v>3.8852449999999998</v>
      </c>
      <c r="I268" s="9">
        <v>0</v>
      </c>
      <c r="J268" s="9">
        <v>0</v>
      </c>
      <c r="K268" s="62" t="s">
        <v>44</v>
      </c>
      <c r="L268" s="63" t="str">
        <f t="shared" si="8"/>
        <v>May-2017</v>
      </c>
      <c r="M268" s="29">
        <f t="shared" si="9"/>
        <v>42856</v>
      </c>
    </row>
    <row r="269" spans="1:13" ht="21" x14ac:dyDescent="0.35">
      <c r="A269" s="8">
        <v>2017</v>
      </c>
      <c r="B269" s="9">
        <v>5</v>
      </c>
      <c r="C269" s="17" t="s">
        <v>76</v>
      </c>
      <c r="D269" s="64" t="s">
        <v>81</v>
      </c>
      <c r="E269" s="9">
        <v>6049.9800109999996</v>
      </c>
      <c r="F269" s="9">
        <v>62</v>
      </c>
      <c r="G269" s="9">
        <v>97.58</v>
      </c>
      <c r="H269" s="9">
        <v>4.2786879999999998</v>
      </c>
      <c r="I269" s="9">
        <v>0</v>
      </c>
      <c r="J269" s="9">
        <v>0</v>
      </c>
      <c r="K269" s="62" t="s">
        <v>44</v>
      </c>
      <c r="L269" s="63" t="str">
        <f t="shared" si="8"/>
        <v>May-2017</v>
      </c>
      <c r="M269" s="29">
        <f t="shared" si="9"/>
        <v>42856</v>
      </c>
    </row>
    <row r="270" spans="1:13" ht="21" x14ac:dyDescent="0.35">
      <c r="A270" s="8">
        <v>2017</v>
      </c>
      <c r="B270" s="9">
        <v>5</v>
      </c>
      <c r="C270" s="17" t="s">
        <v>77</v>
      </c>
      <c r="D270" s="64" t="s">
        <v>99</v>
      </c>
      <c r="E270" s="9">
        <v>5293.8700429999999</v>
      </c>
      <c r="F270" s="9">
        <v>34</v>
      </c>
      <c r="G270" s="9">
        <v>155.69999999999999</v>
      </c>
      <c r="H270" s="9">
        <v>3.4117639999999998</v>
      </c>
      <c r="I270" s="9">
        <v>0</v>
      </c>
      <c r="J270" s="9">
        <v>0</v>
      </c>
      <c r="K270" s="62" t="s">
        <v>44</v>
      </c>
      <c r="L270" s="63" t="str">
        <f t="shared" si="8"/>
        <v>May-2017</v>
      </c>
      <c r="M270" s="29">
        <f t="shared" si="9"/>
        <v>42856</v>
      </c>
    </row>
    <row r="271" spans="1:13" ht="21" x14ac:dyDescent="0.35">
      <c r="A271" s="8">
        <v>2017</v>
      </c>
      <c r="B271" s="9">
        <v>5</v>
      </c>
      <c r="C271" s="17" t="s">
        <v>94</v>
      </c>
      <c r="D271" s="64" t="s">
        <v>80</v>
      </c>
      <c r="E271" s="9">
        <v>5241.4400180000002</v>
      </c>
      <c r="F271" s="9">
        <v>16</v>
      </c>
      <c r="G271" s="9">
        <v>327.58999999999997</v>
      </c>
      <c r="H271" s="9">
        <v>4.625</v>
      </c>
      <c r="I271" s="9">
        <v>0</v>
      </c>
      <c r="J271" s="9">
        <v>0</v>
      </c>
      <c r="K271" s="62" t="s">
        <v>44</v>
      </c>
      <c r="L271" s="63" t="str">
        <f t="shared" si="8"/>
        <v>May-2017</v>
      </c>
      <c r="M271" s="29">
        <f t="shared" si="9"/>
        <v>42856</v>
      </c>
    </row>
    <row r="272" spans="1:13" ht="21" x14ac:dyDescent="0.35">
      <c r="A272" s="8">
        <v>2017</v>
      </c>
      <c r="B272" s="9">
        <v>5</v>
      </c>
      <c r="C272" s="17" t="s">
        <v>103</v>
      </c>
      <c r="D272" s="64" t="s">
        <v>82</v>
      </c>
      <c r="E272" s="9">
        <v>4929.4299890000002</v>
      </c>
      <c r="F272" s="9">
        <v>29</v>
      </c>
      <c r="G272" s="9">
        <v>169.98</v>
      </c>
      <c r="H272" s="9">
        <v>3.5</v>
      </c>
      <c r="I272" s="9">
        <v>0</v>
      </c>
      <c r="J272" s="9">
        <v>0</v>
      </c>
      <c r="K272" s="62" t="s">
        <v>44</v>
      </c>
      <c r="L272" s="63" t="str">
        <f t="shared" si="8"/>
        <v>May-2017</v>
      </c>
      <c r="M272" s="29">
        <f t="shared" si="9"/>
        <v>42856</v>
      </c>
    </row>
    <row r="273" spans="1:13" ht="21" x14ac:dyDescent="0.35">
      <c r="A273" s="8">
        <v>2017</v>
      </c>
      <c r="B273" s="9">
        <v>5</v>
      </c>
      <c r="C273" s="17" t="s">
        <v>109</v>
      </c>
      <c r="D273" s="64" t="s">
        <v>79</v>
      </c>
      <c r="E273" s="9">
        <v>3093.0399929999999</v>
      </c>
      <c r="F273" s="9">
        <v>9</v>
      </c>
      <c r="G273" s="9">
        <v>343.67</v>
      </c>
      <c r="H273" s="9">
        <v>4.4444439999999998</v>
      </c>
      <c r="I273" s="9">
        <v>0</v>
      </c>
      <c r="J273" s="9">
        <v>0</v>
      </c>
      <c r="K273" s="62" t="s">
        <v>44</v>
      </c>
      <c r="L273" s="63" t="str">
        <f t="shared" si="8"/>
        <v>May-2017</v>
      </c>
      <c r="M273" s="29">
        <f t="shared" si="9"/>
        <v>42856</v>
      </c>
    </row>
    <row r="274" spans="1:13" ht="21" x14ac:dyDescent="0.35">
      <c r="A274" s="8">
        <v>2017</v>
      </c>
      <c r="B274" s="9">
        <v>5</v>
      </c>
      <c r="C274" s="17" t="s">
        <v>115</v>
      </c>
      <c r="D274" s="64" t="s">
        <v>50</v>
      </c>
      <c r="E274" s="9">
        <v>2507.2000200000002</v>
      </c>
      <c r="F274" s="9">
        <v>26</v>
      </c>
      <c r="G274" s="9">
        <v>96.43</v>
      </c>
      <c r="H274" s="9">
        <v>4.1538459999999997</v>
      </c>
      <c r="I274" s="9">
        <v>0</v>
      </c>
      <c r="J274" s="9">
        <v>0</v>
      </c>
      <c r="K274" s="62" t="s">
        <v>44</v>
      </c>
      <c r="L274" s="63" t="str">
        <f t="shared" si="8"/>
        <v>May-2017</v>
      </c>
      <c r="M274" s="29">
        <f t="shared" si="9"/>
        <v>42856</v>
      </c>
    </row>
    <row r="275" spans="1:13" ht="21" x14ac:dyDescent="0.35">
      <c r="A275" s="8">
        <v>2017</v>
      </c>
      <c r="B275" s="9">
        <v>5</v>
      </c>
      <c r="C275" s="17" t="s">
        <v>118</v>
      </c>
      <c r="D275" s="64" t="s">
        <v>59</v>
      </c>
      <c r="E275" s="9">
        <v>2476.9799899999998</v>
      </c>
      <c r="F275" s="9">
        <v>21</v>
      </c>
      <c r="G275" s="9">
        <v>117.95</v>
      </c>
      <c r="H275" s="9">
        <v>4.4761899999999999</v>
      </c>
      <c r="I275" s="9">
        <v>0</v>
      </c>
      <c r="J275" s="9">
        <v>0</v>
      </c>
      <c r="K275" s="62" t="s">
        <v>44</v>
      </c>
      <c r="L275" s="63" t="str">
        <f t="shared" si="8"/>
        <v>May-2017</v>
      </c>
      <c r="M275" s="29">
        <f t="shared" si="9"/>
        <v>42856</v>
      </c>
    </row>
    <row r="276" spans="1:13" ht="21" x14ac:dyDescent="0.35">
      <c r="A276" s="8">
        <v>2017</v>
      </c>
      <c r="B276" s="9">
        <v>5</v>
      </c>
      <c r="C276" s="17" t="s">
        <v>120</v>
      </c>
      <c r="D276" s="64" t="s">
        <v>89</v>
      </c>
      <c r="E276" s="9">
        <v>2369.969994</v>
      </c>
      <c r="F276" s="9">
        <v>6</v>
      </c>
      <c r="G276" s="9">
        <v>394.99</v>
      </c>
      <c r="H276" s="9">
        <v>4.3333329999999997</v>
      </c>
      <c r="I276" s="9">
        <v>0</v>
      </c>
      <c r="J276" s="9">
        <v>0</v>
      </c>
      <c r="K276" s="62" t="s">
        <v>44</v>
      </c>
      <c r="L276" s="63" t="str">
        <f t="shared" si="8"/>
        <v>May-2017</v>
      </c>
      <c r="M276" s="29">
        <f t="shared" si="9"/>
        <v>42856</v>
      </c>
    </row>
    <row r="277" spans="1:13" ht="21" x14ac:dyDescent="0.35">
      <c r="A277" s="8">
        <v>2017</v>
      </c>
      <c r="B277" s="9">
        <v>5</v>
      </c>
      <c r="C277" s="17" t="s">
        <v>124</v>
      </c>
      <c r="D277" s="64" t="s">
        <v>69</v>
      </c>
      <c r="E277" s="9">
        <v>2081.1799930000002</v>
      </c>
      <c r="F277" s="9">
        <v>17</v>
      </c>
      <c r="G277" s="9">
        <v>122.42</v>
      </c>
      <c r="H277" s="9">
        <v>4.1764700000000001</v>
      </c>
      <c r="I277" s="9">
        <v>0</v>
      </c>
      <c r="J277" s="9">
        <v>0</v>
      </c>
      <c r="K277" s="62" t="s">
        <v>44</v>
      </c>
      <c r="L277" s="63" t="str">
        <f t="shared" si="8"/>
        <v>May-2017</v>
      </c>
      <c r="M277" s="29">
        <f t="shared" si="9"/>
        <v>42856</v>
      </c>
    </row>
    <row r="278" spans="1:13" ht="21" x14ac:dyDescent="0.35">
      <c r="A278" s="8">
        <v>2017</v>
      </c>
      <c r="B278" s="9">
        <v>5</v>
      </c>
      <c r="C278" s="17" t="s">
        <v>42</v>
      </c>
      <c r="D278" s="64" t="s">
        <v>96</v>
      </c>
      <c r="E278" s="9">
        <v>1912.7900119999999</v>
      </c>
      <c r="F278" s="9">
        <v>28</v>
      </c>
      <c r="G278" s="9">
        <v>68.31</v>
      </c>
      <c r="H278" s="9">
        <v>4.7142850000000003</v>
      </c>
      <c r="I278" s="9">
        <v>0</v>
      </c>
      <c r="J278" s="9">
        <v>0</v>
      </c>
      <c r="K278" s="62" t="s">
        <v>44</v>
      </c>
      <c r="L278" s="63" t="str">
        <f t="shared" si="8"/>
        <v>May-2017</v>
      </c>
      <c r="M278" s="29">
        <f t="shared" si="9"/>
        <v>42856</v>
      </c>
    </row>
    <row r="279" spans="1:13" ht="21" x14ac:dyDescent="0.35">
      <c r="A279" s="8">
        <v>2017</v>
      </c>
      <c r="B279" s="9">
        <v>5</v>
      </c>
      <c r="C279" s="17" t="s">
        <v>47</v>
      </c>
      <c r="D279" s="64" t="s">
        <v>71</v>
      </c>
      <c r="E279" s="9">
        <v>1841.5699770000001</v>
      </c>
      <c r="F279" s="9">
        <v>19</v>
      </c>
      <c r="G279" s="9">
        <v>96.92</v>
      </c>
      <c r="H279" s="9">
        <v>4.5263150000000003</v>
      </c>
      <c r="I279" s="9">
        <v>0</v>
      </c>
      <c r="J279" s="9">
        <v>0</v>
      </c>
      <c r="K279" s="62" t="s">
        <v>44</v>
      </c>
      <c r="L279" s="63" t="str">
        <f t="shared" si="8"/>
        <v>May-2017</v>
      </c>
      <c r="M279" s="29">
        <f t="shared" si="9"/>
        <v>42856</v>
      </c>
    </row>
    <row r="280" spans="1:13" ht="21" x14ac:dyDescent="0.35">
      <c r="A280" s="8">
        <v>2017</v>
      </c>
      <c r="B280" s="9">
        <v>5</v>
      </c>
      <c r="C280" s="17" t="s">
        <v>125</v>
      </c>
      <c r="D280" s="64" t="s">
        <v>74</v>
      </c>
      <c r="E280" s="9">
        <v>1669.5400030000001</v>
      </c>
      <c r="F280" s="9">
        <v>22</v>
      </c>
      <c r="G280" s="9">
        <v>75.89</v>
      </c>
      <c r="H280" s="9">
        <v>4.2727269999999997</v>
      </c>
      <c r="I280" s="9">
        <v>0</v>
      </c>
      <c r="J280" s="9">
        <v>0</v>
      </c>
      <c r="K280" s="62" t="s">
        <v>44</v>
      </c>
      <c r="L280" s="63" t="str">
        <f t="shared" si="8"/>
        <v>May-2017</v>
      </c>
      <c r="M280" s="29">
        <f t="shared" si="9"/>
        <v>42856</v>
      </c>
    </row>
    <row r="281" spans="1:13" ht="21" x14ac:dyDescent="0.35">
      <c r="A281" s="8">
        <v>2017</v>
      </c>
      <c r="B281" s="9">
        <v>5</v>
      </c>
      <c r="C281" s="17" t="s">
        <v>76</v>
      </c>
      <c r="D281" s="64" t="s">
        <v>97</v>
      </c>
      <c r="E281" s="9">
        <v>1620.4999749999999</v>
      </c>
      <c r="F281" s="9">
        <v>5</v>
      </c>
      <c r="G281" s="9">
        <v>324.10000000000002</v>
      </c>
      <c r="H281" s="9">
        <v>3.2</v>
      </c>
      <c r="I281" s="9">
        <v>0</v>
      </c>
      <c r="J281" s="9">
        <v>0</v>
      </c>
      <c r="K281" s="62" t="s">
        <v>44</v>
      </c>
      <c r="L281" s="63" t="str">
        <f t="shared" si="8"/>
        <v>May-2017</v>
      </c>
      <c r="M281" s="29">
        <f t="shared" si="9"/>
        <v>42856</v>
      </c>
    </row>
    <row r="282" spans="1:13" ht="21" x14ac:dyDescent="0.35">
      <c r="A282" s="8">
        <v>2017</v>
      </c>
      <c r="B282" s="9">
        <v>5</v>
      </c>
      <c r="C282" s="17" t="s">
        <v>77</v>
      </c>
      <c r="D282" s="64" t="s">
        <v>91</v>
      </c>
      <c r="E282" s="9">
        <v>1579.9399639999999</v>
      </c>
      <c r="F282" s="9">
        <v>4</v>
      </c>
      <c r="G282" s="9">
        <v>394.98</v>
      </c>
      <c r="H282" s="9">
        <v>4.75</v>
      </c>
      <c r="I282" s="9">
        <v>0</v>
      </c>
      <c r="J282" s="9">
        <v>0</v>
      </c>
      <c r="K282" s="62" t="s">
        <v>44</v>
      </c>
      <c r="L282" s="63" t="str">
        <f t="shared" si="8"/>
        <v>May-2017</v>
      </c>
      <c r="M282" s="29">
        <f t="shared" si="9"/>
        <v>42856</v>
      </c>
    </row>
    <row r="283" spans="1:13" ht="21" x14ac:dyDescent="0.35">
      <c r="A283" s="8">
        <v>2017</v>
      </c>
      <c r="B283" s="9">
        <v>5</v>
      </c>
      <c r="C283" s="17" t="s">
        <v>94</v>
      </c>
      <c r="D283" s="64" t="s">
        <v>98</v>
      </c>
      <c r="E283" s="9">
        <v>1577.240049</v>
      </c>
      <c r="F283" s="9">
        <v>6</v>
      </c>
      <c r="G283" s="9">
        <v>262.87</v>
      </c>
      <c r="H283" s="9">
        <v>3.3333330000000001</v>
      </c>
      <c r="I283" s="9">
        <v>1</v>
      </c>
      <c r="J283" s="9">
        <v>16.670000000000002</v>
      </c>
      <c r="K283" s="62" t="s">
        <v>44</v>
      </c>
      <c r="L283" s="63" t="str">
        <f t="shared" si="8"/>
        <v>May-2017</v>
      </c>
      <c r="M283" s="29">
        <f t="shared" si="9"/>
        <v>42856</v>
      </c>
    </row>
    <row r="284" spans="1:13" ht="21" x14ac:dyDescent="0.35">
      <c r="A284" s="8">
        <v>2017</v>
      </c>
      <c r="B284" s="9">
        <v>5</v>
      </c>
      <c r="C284" s="17" t="s">
        <v>103</v>
      </c>
      <c r="D284" s="64" t="s">
        <v>95</v>
      </c>
      <c r="E284" s="9">
        <v>1514.979996</v>
      </c>
      <c r="F284" s="9">
        <v>7</v>
      </c>
      <c r="G284" s="9">
        <v>216.43</v>
      </c>
      <c r="H284" s="9">
        <v>4.8</v>
      </c>
      <c r="I284" s="9">
        <v>0</v>
      </c>
      <c r="J284" s="9">
        <v>0</v>
      </c>
      <c r="K284" s="62" t="s">
        <v>44</v>
      </c>
      <c r="L284" s="63" t="str">
        <f t="shared" si="8"/>
        <v>May-2017</v>
      </c>
      <c r="M284" s="29">
        <f t="shared" si="9"/>
        <v>42856</v>
      </c>
    </row>
    <row r="285" spans="1:13" ht="21" x14ac:dyDescent="0.35">
      <c r="A285" s="8">
        <v>2017</v>
      </c>
      <c r="B285" s="9">
        <v>5</v>
      </c>
      <c r="C285" s="17" t="s">
        <v>109</v>
      </c>
      <c r="D285" s="64" t="s">
        <v>88</v>
      </c>
      <c r="E285" s="9">
        <v>1304.4800110000001</v>
      </c>
      <c r="F285" s="9">
        <v>9</v>
      </c>
      <c r="G285" s="9">
        <v>144.94</v>
      </c>
      <c r="H285" s="9">
        <v>4.1111110000000002</v>
      </c>
      <c r="I285" s="9">
        <v>0</v>
      </c>
      <c r="J285" s="9">
        <v>0</v>
      </c>
      <c r="K285" s="62" t="s">
        <v>44</v>
      </c>
      <c r="L285" s="63" t="str">
        <f t="shared" si="8"/>
        <v>May-2017</v>
      </c>
      <c r="M285" s="29">
        <f t="shared" si="9"/>
        <v>42856</v>
      </c>
    </row>
    <row r="286" spans="1:13" ht="21" x14ac:dyDescent="0.35">
      <c r="A286" s="8">
        <v>2017</v>
      </c>
      <c r="B286" s="9">
        <v>5</v>
      </c>
      <c r="C286" s="17" t="s">
        <v>115</v>
      </c>
      <c r="D286" s="64" t="s">
        <v>54</v>
      </c>
      <c r="E286" s="9">
        <v>1016.769999</v>
      </c>
      <c r="F286" s="9">
        <v>7</v>
      </c>
      <c r="G286" s="9">
        <v>145.25</v>
      </c>
      <c r="H286" s="9">
        <v>4.2857139999999996</v>
      </c>
      <c r="I286" s="9">
        <v>0</v>
      </c>
      <c r="J286" s="9">
        <v>0</v>
      </c>
      <c r="K286" s="62" t="s">
        <v>44</v>
      </c>
      <c r="L286" s="63" t="str">
        <f t="shared" si="8"/>
        <v>May-2017</v>
      </c>
      <c r="M286" s="29">
        <f t="shared" si="9"/>
        <v>42856</v>
      </c>
    </row>
    <row r="287" spans="1:13" ht="21" x14ac:dyDescent="0.35">
      <c r="A287" s="8">
        <v>2017</v>
      </c>
      <c r="B287" s="9">
        <v>5</v>
      </c>
      <c r="C287" s="17" t="s">
        <v>118</v>
      </c>
      <c r="D287" s="64" t="s">
        <v>110</v>
      </c>
      <c r="E287" s="9">
        <v>803.90000150000003</v>
      </c>
      <c r="F287" s="9">
        <v>2</v>
      </c>
      <c r="G287" s="9">
        <v>401.95</v>
      </c>
      <c r="H287" s="9">
        <v>5</v>
      </c>
      <c r="I287" s="9">
        <v>0</v>
      </c>
      <c r="J287" s="9">
        <v>0</v>
      </c>
      <c r="K287" s="62" t="s">
        <v>44</v>
      </c>
      <c r="L287" s="63" t="str">
        <f t="shared" si="8"/>
        <v>May-2017</v>
      </c>
      <c r="M287" s="29">
        <f t="shared" si="9"/>
        <v>42856</v>
      </c>
    </row>
    <row r="288" spans="1:13" ht="21" x14ac:dyDescent="0.35">
      <c r="A288" s="8">
        <v>2017</v>
      </c>
      <c r="B288" s="9">
        <v>5</v>
      </c>
      <c r="C288" s="17" t="s">
        <v>120</v>
      </c>
      <c r="D288" s="64" t="s">
        <v>75</v>
      </c>
      <c r="E288" s="9">
        <v>608.89999390000003</v>
      </c>
      <c r="F288" s="9">
        <v>3</v>
      </c>
      <c r="G288" s="9">
        <v>202.97</v>
      </c>
      <c r="H288" s="9">
        <v>3</v>
      </c>
      <c r="I288" s="9">
        <v>0</v>
      </c>
      <c r="J288" s="9">
        <v>0</v>
      </c>
      <c r="K288" s="62" t="s">
        <v>44</v>
      </c>
      <c r="L288" s="63" t="str">
        <f t="shared" si="8"/>
        <v>May-2017</v>
      </c>
      <c r="M288" s="29">
        <f t="shared" si="9"/>
        <v>42856</v>
      </c>
    </row>
    <row r="289" spans="1:13" ht="21" x14ac:dyDescent="0.35">
      <c r="A289" s="8">
        <v>2017</v>
      </c>
      <c r="B289" s="9">
        <v>5</v>
      </c>
      <c r="C289" s="17" t="s">
        <v>124</v>
      </c>
      <c r="D289" s="64" t="s">
        <v>112</v>
      </c>
      <c r="E289" s="9">
        <v>595.88999179999996</v>
      </c>
      <c r="F289" s="9">
        <v>3</v>
      </c>
      <c r="G289" s="9">
        <v>198.63</v>
      </c>
      <c r="H289" s="9">
        <v>3.6666660000000002</v>
      </c>
      <c r="I289" s="9">
        <v>0</v>
      </c>
      <c r="J289" s="9">
        <v>0</v>
      </c>
      <c r="K289" s="62" t="s">
        <v>44</v>
      </c>
      <c r="L289" s="63" t="str">
        <f t="shared" si="8"/>
        <v>May-2017</v>
      </c>
      <c r="M289" s="29">
        <f t="shared" si="9"/>
        <v>42856</v>
      </c>
    </row>
    <row r="290" spans="1:13" ht="21" x14ac:dyDescent="0.35">
      <c r="A290" s="8">
        <v>2017</v>
      </c>
      <c r="B290" s="9">
        <v>5</v>
      </c>
      <c r="C290" s="17" t="s">
        <v>42</v>
      </c>
      <c r="D290" s="64" t="s">
        <v>67</v>
      </c>
      <c r="E290" s="9">
        <v>519.79998780000005</v>
      </c>
      <c r="F290" s="9">
        <v>2</v>
      </c>
      <c r="G290" s="9">
        <v>259.89999999999998</v>
      </c>
      <c r="H290" s="9">
        <v>3</v>
      </c>
      <c r="I290" s="9">
        <v>0</v>
      </c>
      <c r="J290" s="9">
        <v>0</v>
      </c>
      <c r="K290" s="62" t="s">
        <v>44</v>
      </c>
      <c r="L290" s="63" t="str">
        <f t="shared" si="8"/>
        <v>May-2017</v>
      </c>
      <c r="M290" s="29">
        <f t="shared" si="9"/>
        <v>42856</v>
      </c>
    </row>
    <row r="291" spans="1:13" ht="21" x14ac:dyDescent="0.35">
      <c r="A291" s="8">
        <v>2017</v>
      </c>
      <c r="B291" s="9">
        <v>5</v>
      </c>
      <c r="C291" s="17" t="s">
        <v>47</v>
      </c>
      <c r="D291" s="64" t="s">
        <v>107</v>
      </c>
      <c r="E291" s="9">
        <v>508.85000129999997</v>
      </c>
      <c r="F291" s="9">
        <v>3</v>
      </c>
      <c r="G291" s="9">
        <v>169.62</v>
      </c>
      <c r="H291" s="9">
        <v>4.6666660000000002</v>
      </c>
      <c r="I291" s="9">
        <v>0</v>
      </c>
      <c r="J291" s="9">
        <v>0</v>
      </c>
      <c r="K291" s="62" t="s">
        <v>44</v>
      </c>
      <c r="L291" s="63" t="str">
        <f t="shared" si="8"/>
        <v>May-2017</v>
      </c>
      <c r="M291" s="29">
        <f t="shared" si="9"/>
        <v>42856</v>
      </c>
    </row>
    <row r="292" spans="1:13" ht="21" x14ac:dyDescent="0.35">
      <c r="A292" s="8">
        <v>2017</v>
      </c>
      <c r="B292" s="9">
        <v>5</v>
      </c>
      <c r="C292" s="17" t="s">
        <v>125</v>
      </c>
      <c r="D292" s="64" t="s">
        <v>63</v>
      </c>
      <c r="E292" s="9">
        <v>462.33001330000002</v>
      </c>
      <c r="F292" s="9">
        <v>10</v>
      </c>
      <c r="G292" s="9">
        <v>46.23</v>
      </c>
      <c r="H292" s="9">
        <v>3.1</v>
      </c>
      <c r="I292" s="9">
        <v>0</v>
      </c>
      <c r="J292" s="9">
        <v>0</v>
      </c>
      <c r="K292" s="62" t="s">
        <v>44</v>
      </c>
      <c r="L292" s="63" t="str">
        <f t="shared" si="8"/>
        <v>May-2017</v>
      </c>
      <c r="M292" s="29">
        <f t="shared" si="9"/>
        <v>42856</v>
      </c>
    </row>
    <row r="293" spans="1:13" ht="21" x14ac:dyDescent="0.35">
      <c r="A293" s="8">
        <v>2017</v>
      </c>
      <c r="B293" s="9">
        <v>5</v>
      </c>
      <c r="C293" s="17" t="s">
        <v>76</v>
      </c>
      <c r="D293" s="64" t="s">
        <v>73</v>
      </c>
      <c r="E293" s="9">
        <v>422.3999996</v>
      </c>
      <c r="F293" s="9">
        <v>5</v>
      </c>
      <c r="G293" s="9">
        <v>84.48</v>
      </c>
      <c r="H293" s="9">
        <v>3.4</v>
      </c>
      <c r="I293" s="9">
        <v>0</v>
      </c>
      <c r="J293" s="9">
        <v>0</v>
      </c>
      <c r="K293" s="62" t="s">
        <v>44</v>
      </c>
      <c r="L293" s="63" t="str">
        <f t="shared" si="8"/>
        <v>May-2017</v>
      </c>
      <c r="M293" s="29">
        <f t="shared" si="9"/>
        <v>42856</v>
      </c>
    </row>
    <row r="294" spans="1:13" ht="21" x14ac:dyDescent="0.35">
      <c r="A294" s="8">
        <v>2017</v>
      </c>
      <c r="B294" s="9">
        <v>5</v>
      </c>
      <c r="C294" s="17" t="s">
        <v>77</v>
      </c>
      <c r="D294" s="64" t="s">
        <v>106</v>
      </c>
      <c r="E294" s="9">
        <v>416.28999709999999</v>
      </c>
      <c r="F294" s="9">
        <v>12</v>
      </c>
      <c r="G294" s="9">
        <v>34.69</v>
      </c>
      <c r="H294" s="9">
        <v>4.3333329999999997</v>
      </c>
      <c r="I294" s="9">
        <v>0</v>
      </c>
      <c r="J294" s="9">
        <v>0</v>
      </c>
      <c r="K294" s="62" t="s">
        <v>44</v>
      </c>
      <c r="L294" s="63" t="str">
        <f t="shared" si="8"/>
        <v>May-2017</v>
      </c>
      <c r="M294" s="29">
        <f t="shared" si="9"/>
        <v>42856</v>
      </c>
    </row>
    <row r="295" spans="1:13" ht="21" x14ac:dyDescent="0.35">
      <c r="A295" s="8">
        <v>2017</v>
      </c>
      <c r="B295" s="9">
        <v>5</v>
      </c>
      <c r="C295" s="17" t="s">
        <v>94</v>
      </c>
      <c r="D295" s="64" t="s">
        <v>72</v>
      </c>
      <c r="E295" s="9">
        <v>387.89999390000003</v>
      </c>
      <c r="F295" s="9">
        <v>3</v>
      </c>
      <c r="G295" s="9">
        <v>129.30000000000001</v>
      </c>
      <c r="H295" s="9">
        <v>3.3333330000000001</v>
      </c>
      <c r="I295" s="9">
        <v>0</v>
      </c>
      <c r="J295" s="9">
        <v>0</v>
      </c>
      <c r="K295" s="62" t="s">
        <v>44</v>
      </c>
      <c r="L295" s="63" t="str">
        <f t="shared" si="8"/>
        <v>May-2017</v>
      </c>
      <c r="M295" s="29">
        <f t="shared" si="9"/>
        <v>42856</v>
      </c>
    </row>
    <row r="296" spans="1:13" ht="21" x14ac:dyDescent="0.35">
      <c r="A296" s="8">
        <v>2017</v>
      </c>
      <c r="B296" s="9">
        <v>5</v>
      </c>
      <c r="C296" s="17" t="s">
        <v>103</v>
      </c>
      <c r="D296" s="64" t="s">
        <v>87</v>
      </c>
      <c r="E296" s="9">
        <v>283.5000005</v>
      </c>
      <c r="F296" s="9">
        <v>6</v>
      </c>
      <c r="G296" s="9">
        <v>47.25</v>
      </c>
      <c r="H296" s="9">
        <v>4.3333329999999997</v>
      </c>
      <c r="I296" s="9">
        <v>0</v>
      </c>
      <c r="J296" s="9">
        <v>0</v>
      </c>
      <c r="K296" s="62" t="s">
        <v>44</v>
      </c>
      <c r="L296" s="63" t="str">
        <f t="shared" si="8"/>
        <v>May-2017</v>
      </c>
      <c r="M296" s="29">
        <f t="shared" si="9"/>
        <v>42856</v>
      </c>
    </row>
    <row r="297" spans="1:13" ht="21" x14ac:dyDescent="0.35">
      <c r="A297" s="8">
        <v>2017</v>
      </c>
      <c r="B297" s="9">
        <v>5</v>
      </c>
      <c r="C297" s="17" t="s">
        <v>109</v>
      </c>
      <c r="D297" s="64" t="s">
        <v>68</v>
      </c>
      <c r="E297" s="9">
        <v>262.00000569999997</v>
      </c>
      <c r="F297" s="9">
        <v>3</v>
      </c>
      <c r="G297" s="9">
        <v>87.33</v>
      </c>
      <c r="H297" s="9">
        <v>4.6666660000000002</v>
      </c>
      <c r="I297" s="9">
        <v>0</v>
      </c>
      <c r="J297" s="9">
        <v>0</v>
      </c>
      <c r="K297" s="62" t="s">
        <v>44</v>
      </c>
      <c r="L297" s="63" t="str">
        <f t="shared" si="8"/>
        <v>May-2017</v>
      </c>
      <c r="M297" s="29">
        <f t="shared" si="9"/>
        <v>42856</v>
      </c>
    </row>
    <row r="298" spans="1:13" ht="21" x14ac:dyDescent="0.35">
      <c r="A298" s="8">
        <v>2017</v>
      </c>
      <c r="B298" s="9">
        <v>5</v>
      </c>
      <c r="C298" s="17" t="s">
        <v>115</v>
      </c>
      <c r="D298" s="64" t="s">
        <v>114</v>
      </c>
      <c r="E298" s="9">
        <v>193</v>
      </c>
      <c r="F298" s="9">
        <v>1</v>
      </c>
      <c r="G298" s="9">
        <v>193</v>
      </c>
      <c r="H298" s="9">
        <v>5</v>
      </c>
      <c r="I298" s="9">
        <v>0</v>
      </c>
      <c r="J298" s="9">
        <v>0</v>
      </c>
      <c r="K298" s="62" t="s">
        <v>44</v>
      </c>
      <c r="L298" s="63" t="str">
        <f t="shared" si="8"/>
        <v>May-2017</v>
      </c>
      <c r="M298" s="29">
        <f t="shared" si="9"/>
        <v>42856</v>
      </c>
    </row>
    <row r="299" spans="1:13" ht="21" x14ac:dyDescent="0.35">
      <c r="A299" s="8">
        <v>2017</v>
      </c>
      <c r="B299" s="9">
        <v>5</v>
      </c>
      <c r="C299" s="17" t="s">
        <v>118</v>
      </c>
      <c r="D299" s="64" t="s">
        <v>111</v>
      </c>
      <c r="E299" s="9">
        <v>129.9900055</v>
      </c>
      <c r="F299" s="9">
        <v>1</v>
      </c>
      <c r="G299" s="9">
        <v>129.99</v>
      </c>
      <c r="H299" s="9">
        <v>5</v>
      </c>
      <c r="I299" s="9">
        <v>0</v>
      </c>
      <c r="J299" s="9">
        <v>0</v>
      </c>
      <c r="K299" s="62" t="s">
        <v>44</v>
      </c>
      <c r="L299" s="63" t="str">
        <f t="shared" si="8"/>
        <v>May-2017</v>
      </c>
      <c r="M299" s="29">
        <f t="shared" si="9"/>
        <v>42856</v>
      </c>
    </row>
    <row r="300" spans="1:13" ht="21" x14ac:dyDescent="0.35">
      <c r="A300" s="8">
        <v>2017</v>
      </c>
      <c r="B300" s="9">
        <v>5</v>
      </c>
      <c r="C300" s="17" t="s">
        <v>120</v>
      </c>
      <c r="D300" s="64" t="s">
        <v>108</v>
      </c>
      <c r="E300" s="9">
        <v>124.84000210000001</v>
      </c>
      <c r="F300" s="9">
        <v>3</v>
      </c>
      <c r="G300" s="9">
        <v>41.61</v>
      </c>
      <c r="H300" s="9">
        <v>5</v>
      </c>
      <c r="I300" s="9">
        <v>0</v>
      </c>
      <c r="J300" s="9">
        <v>0</v>
      </c>
      <c r="K300" s="62" t="s">
        <v>44</v>
      </c>
      <c r="L300" s="63" t="str">
        <f t="shared" si="8"/>
        <v>May-2017</v>
      </c>
      <c r="M300" s="29">
        <f t="shared" si="9"/>
        <v>42856</v>
      </c>
    </row>
    <row r="301" spans="1:13" ht="21" x14ac:dyDescent="0.35">
      <c r="A301" s="8">
        <v>2017</v>
      </c>
      <c r="B301" s="9">
        <v>5</v>
      </c>
      <c r="C301" s="17" t="s">
        <v>124</v>
      </c>
      <c r="D301" s="64" t="s">
        <v>116</v>
      </c>
      <c r="E301" s="9">
        <v>110</v>
      </c>
      <c r="F301" s="9">
        <v>1</v>
      </c>
      <c r="G301" s="9">
        <v>110</v>
      </c>
      <c r="H301" s="9">
        <v>5</v>
      </c>
      <c r="I301" s="9">
        <v>0</v>
      </c>
      <c r="J301" s="9">
        <v>0</v>
      </c>
      <c r="K301" s="62" t="s">
        <v>44</v>
      </c>
      <c r="L301" s="63" t="str">
        <f t="shared" si="8"/>
        <v>May-2017</v>
      </c>
      <c r="M301" s="29">
        <f t="shared" si="9"/>
        <v>42856</v>
      </c>
    </row>
    <row r="302" spans="1:13" ht="21" x14ac:dyDescent="0.35">
      <c r="A302" s="8">
        <v>2017</v>
      </c>
      <c r="B302" s="9">
        <v>5</v>
      </c>
      <c r="C302" s="17" t="s">
        <v>42</v>
      </c>
      <c r="D302" s="64" t="s">
        <v>85</v>
      </c>
      <c r="E302" s="9">
        <v>99.989997860000003</v>
      </c>
      <c r="F302" s="9">
        <v>1</v>
      </c>
      <c r="G302" s="9">
        <v>99.99</v>
      </c>
      <c r="H302" s="9">
        <v>5</v>
      </c>
      <c r="I302" s="9">
        <v>0</v>
      </c>
      <c r="J302" s="9">
        <v>0</v>
      </c>
      <c r="K302" s="62" t="s">
        <v>44</v>
      </c>
      <c r="L302" s="63" t="str">
        <f t="shared" si="8"/>
        <v>May-2017</v>
      </c>
      <c r="M302" s="29">
        <f t="shared" si="9"/>
        <v>42856</v>
      </c>
    </row>
    <row r="303" spans="1:13" ht="21" x14ac:dyDescent="0.35">
      <c r="A303" s="8">
        <v>2017</v>
      </c>
      <c r="B303" s="9">
        <v>5</v>
      </c>
      <c r="C303" s="17" t="s">
        <v>47</v>
      </c>
      <c r="D303" s="64" t="s">
        <v>104</v>
      </c>
      <c r="E303" s="9">
        <v>90</v>
      </c>
      <c r="F303" s="9">
        <v>1</v>
      </c>
      <c r="G303" s="9">
        <v>90</v>
      </c>
      <c r="H303" s="9">
        <v>5</v>
      </c>
      <c r="I303" s="9">
        <v>0</v>
      </c>
      <c r="J303" s="9">
        <v>0</v>
      </c>
      <c r="K303" s="62" t="s">
        <v>44</v>
      </c>
      <c r="L303" s="63" t="str">
        <f t="shared" si="8"/>
        <v>May-2017</v>
      </c>
      <c r="M303" s="29">
        <f t="shared" si="9"/>
        <v>42856</v>
      </c>
    </row>
    <row r="304" spans="1:13" ht="21" x14ac:dyDescent="0.35">
      <c r="A304" s="8">
        <v>2017</v>
      </c>
      <c r="B304" s="9">
        <v>5</v>
      </c>
      <c r="C304" s="17" t="s">
        <v>125</v>
      </c>
      <c r="D304" s="64" t="s">
        <v>92</v>
      </c>
      <c r="E304" s="9">
        <v>89.599998470000003</v>
      </c>
      <c r="F304" s="9">
        <v>4</v>
      </c>
      <c r="G304" s="9">
        <v>22.4</v>
      </c>
      <c r="H304" s="9">
        <v>4.75</v>
      </c>
      <c r="I304" s="9">
        <v>0</v>
      </c>
      <c r="J304" s="9">
        <v>0</v>
      </c>
      <c r="K304" s="62" t="s">
        <v>44</v>
      </c>
      <c r="L304" s="63" t="str">
        <f t="shared" si="8"/>
        <v>May-2017</v>
      </c>
      <c r="M304" s="29">
        <f t="shared" si="9"/>
        <v>42856</v>
      </c>
    </row>
    <row r="305" spans="1:13" ht="21" x14ac:dyDescent="0.35">
      <c r="A305" s="8">
        <v>2017</v>
      </c>
      <c r="B305" s="9">
        <v>5</v>
      </c>
      <c r="C305" s="17" t="s">
        <v>76</v>
      </c>
      <c r="D305" s="64" t="s">
        <v>102</v>
      </c>
      <c r="E305" s="9">
        <v>59</v>
      </c>
      <c r="F305" s="9">
        <v>1</v>
      </c>
      <c r="G305" s="9">
        <v>59</v>
      </c>
      <c r="H305" s="9">
        <v>5</v>
      </c>
      <c r="I305" s="9">
        <v>0</v>
      </c>
      <c r="J305" s="9">
        <v>0</v>
      </c>
      <c r="K305" s="62" t="s">
        <v>44</v>
      </c>
      <c r="L305" s="63" t="str">
        <f t="shared" si="8"/>
        <v>May-2017</v>
      </c>
      <c r="M305" s="29">
        <f t="shared" si="9"/>
        <v>42856</v>
      </c>
    </row>
    <row r="306" spans="1:13" ht="21" x14ac:dyDescent="0.35">
      <c r="A306" s="8">
        <v>2017</v>
      </c>
      <c r="B306" s="9">
        <v>5</v>
      </c>
      <c r="C306" s="17" t="s">
        <v>77</v>
      </c>
      <c r="D306" s="64" t="s">
        <v>117</v>
      </c>
      <c r="E306" s="9">
        <v>21.989999770000001</v>
      </c>
      <c r="F306" s="9">
        <v>1</v>
      </c>
      <c r="G306" s="9">
        <v>21.99</v>
      </c>
      <c r="H306" s="9">
        <v>5</v>
      </c>
      <c r="I306" s="9">
        <v>0</v>
      </c>
      <c r="J306" s="9">
        <v>0</v>
      </c>
      <c r="K306" s="62" t="s">
        <v>44</v>
      </c>
      <c r="L306" s="63" t="str">
        <f t="shared" si="8"/>
        <v>May-2017</v>
      </c>
      <c r="M306" s="29">
        <f t="shared" si="9"/>
        <v>42856</v>
      </c>
    </row>
    <row r="307" spans="1:13" ht="21" x14ac:dyDescent="0.35">
      <c r="A307" s="8">
        <v>2017</v>
      </c>
      <c r="B307" s="9">
        <v>6</v>
      </c>
      <c r="C307" s="17" t="s">
        <v>94</v>
      </c>
      <c r="D307" s="64" t="s">
        <v>62</v>
      </c>
      <c r="E307" s="9">
        <v>38244.500099999997</v>
      </c>
      <c r="F307" s="9">
        <v>197</v>
      </c>
      <c r="G307" s="9">
        <v>194.13</v>
      </c>
      <c r="H307" s="9">
        <v>4.4000000000000004</v>
      </c>
      <c r="I307" s="9">
        <v>0</v>
      </c>
      <c r="J307" s="9">
        <v>0</v>
      </c>
      <c r="K307" s="62" t="s">
        <v>44</v>
      </c>
      <c r="L307" s="63" t="str">
        <f t="shared" si="8"/>
        <v>Jun-2017</v>
      </c>
      <c r="M307" s="29">
        <f t="shared" si="9"/>
        <v>42887</v>
      </c>
    </row>
    <row r="308" spans="1:13" ht="21" x14ac:dyDescent="0.35">
      <c r="A308" s="8">
        <v>2017</v>
      </c>
      <c r="B308" s="9">
        <v>6</v>
      </c>
      <c r="C308" s="17" t="s">
        <v>103</v>
      </c>
      <c r="D308" s="64" t="s">
        <v>56</v>
      </c>
      <c r="E308" s="9">
        <v>37007.079870000001</v>
      </c>
      <c r="F308" s="9">
        <v>219</v>
      </c>
      <c r="G308" s="9">
        <v>168.98</v>
      </c>
      <c r="H308" s="9">
        <v>4.0045869999999999</v>
      </c>
      <c r="I308" s="9">
        <v>0</v>
      </c>
      <c r="J308" s="9">
        <v>0</v>
      </c>
      <c r="K308" s="62" t="s">
        <v>44</v>
      </c>
      <c r="L308" s="63" t="str">
        <f t="shared" si="8"/>
        <v>Jun-2017</v>
      </c>
      <c r="M308" s="29">
        <f t="shared" si="9"/>
        <v>42887</v>
      </c>
    </row>
    <row r="309" spans="1:13" ht="21" x14ac:dyDescent="0.35">
      <c r="A309" s="8">
        <v>2017</v>
      </c>
      <c r="B309" s="9">
        <v>6</v>
      </c>
      <c r="C309" s="17" t="s">
        <v>109</v>
      </c>
      <c r="D309" s="64" t="s">
        <v>66</v>
      </c>
      <c r="E309" s="9">
        <v>35114.810169999997</v>
      </c>
      <c r="F309" s="9">
        <v>335</v>
      </c>
      <c r="G309" s="9">
        <v>104.82</v>
      </c>
      <c r="H309" s="9">
        <v>4.0333329999999998</v>
      </c>
      <c r="I309" s="9">
        <v>0</v>
      </c>
      <c r="J309" s="9">
        <v>0</v>
      </c>
      <c r="K309" s="62" t="s">
        <v>44</v>
      </c>
      <c r="L309" s="63" t="str">
        <f t="shared" si="8"/>
        <v>Jun-2017</v>
      </c>
      <c r="M309" s="29">
        <f t="shared" si="9"/>
        <v>42887</v>
      </c>
    </row>
    <row r="310" spans="1:13" ht="21" x14ac:dyDescent="0.35">
      <c r="A310" s="8">
        <v>2017</v>
      </c>
      <c r="B310" s="9">
        <v>6</v>
      </c>
      <c r="C310" s="17" t="s">
        <v>115</v>
      </c>
      <c r="D310" s="64" t="s">
        <v>52</v>
      </c>
      <c r="E310" s="9">
        <v>32898.329899999997</v>
      </c>
      <c r="F310" s="9">
        <v>250</v>
      </c>
      <c r="G310" s="9">
        <v>131.59</v>
      </c>
      <c r="H310" s="9">
        <v>4.4160000000000004</v>
      </c>
      <c r="I310" s="9">
        <v>1</v>
      </c>
      <c r="J310" s="9">
        <v>0.4</v>
      </c>
      <c r="K310" s="62" t="s">
        <v>44</v>
      </c>
      <c r="L310" s="63" t="str">
        <f t="shared" si="8"/>
        <v>Jun-2017</v>
      </c>
      <c r="M310" s="29">
        <f t="shared" si="9"/>
        <v>42887</v>
      </c>
    </row>
    <row r="311" spans="1:13" ht="21" x14ac:dyDescent="0.35">
      <c r="A311" s="8">
        <v>2017</v>
      </c>
      <c r="B311" s="9">
        <v>6</v>
      </c>
      <c r="C311" s="17" t="s">
        <v>118</v>
      </c>
      <c r="D311" s="64" t="s">
        <v>43</v>
      </c>
      <c r="E311" s="9">
        <v>32029.389930000001</v>
      </c>
      <c r="F311" s="9">
        <v>239</v>
      </c>
      <c r="G311" s="9">
        <v>134.01</v>
      </c>
      <c r="H311" s="9">
        <v>4.2405059999999999</v>
      </c>
      <c r="I311" s="9">
        <v>1</v>
      </c>
      <c r="J311" s="9">
        <v>0.42</v>
      </c>
      <c r="K311" s="62" t="s">
        <v>44</v>
      </c>
      <c r="L311" s="63" t="str">
        <f t="shared" si="8"/>
        <v>Jun-2017</v>
      </c>
      <c r="M311" s="29">
        <f t="shared" si="9"/>
        <v>42887</v>
      </c>
    </row>
    <row r="312" spans="1:13" ht="21" x14ac:dyDescent="0.35">
      <c r="A312" s="8">
        <v>2017</v>
      </c>
      <c r="B312" s="9">
        <v>6</v>
      </c>
      <c r="C312" s="17" t="s">
        <v>120</v>
      </c>
      <c r="D312" s="64" t="s">
        <v>53</v>
      </c>
      <c r="E312" s="9">
        <v>31370.689989999999</v>
      </c>
      <c r="F312" s="9">
        <v>103</v>
      </c>
      <c r="G312" s="9">
        <v>304.57</v>
      </c>
      <c r="H312" s="9">
        <v>3.9207920000000001</v>
      </c>
      <c r="I312" s="9">
        <v>1</v>
      </c>
      <c r="J312" s="9">
        <v>0.97</v>
      </c>
      <c r="K312" s="62" t="s">
        <v>44</v>
      </c>
      <c r="L312" s="63" t="str">
        <f t="shared" si="8"/>
        <v>Jun-2017</v>
      </c>
      <c r="M312" s="29">
        <f t="shared" si="9"/>
        <v>42887</v>
      </c>
    </row>
    <row r="313" spans="1:13" ht="21" x14ac:dyDescent="0.35">
      <c r="A313" s="8">
        <v>2017</v>
      </c>
      <c r="B313" s="9">
        <v>6</v>
      </c>
      <c r="C313" s="17" t="s">
        <v>124</v>
      </c>
      <c r="D313" s="64" t="s">
        <v>51</v>
      </c>
      <c r="E313" s="9">
        <v>28948.629919999999</v>
      </c>
      <c r="F313" s="9">
        <v>118</v>
      </c>
      <c r="G313" s="9">
        <v>245.33</v>
      </c>
      <c r="H313" s="9">
        <v>4.1206889999999996</v>
      </c>
      <c r="I313" s="9">
        <v>2</v>
      </c>
      <c r="J313" s="9">
        <v>1.69</v>
      </c>
      <c r="K313" s="62" t="s">
        <v>44</v>
      </c>
      <c r="L313" s="63" t="str">
        <f t="shared" si="8"/>
        <v>Jun-2017</v>
      </c>
      <c r="M313" s="29">
        <f t="shared" si="9"/>
        <v>42887</v>
      </c>
    </row>
    <row r="314" spans="1:13" ht="21" x14ac:dyDescent="0.35">
      <c r="A314" s="8">
        <v>2017</v>
      </c>
      <c r="B314" s="9">
        <v>6</v>
      </c>
      <c r="C314" s="17" t="s">
        <v>42</v>
      </c>
      <c r="D314" s="64" t="s">
        <v>48</v>
      </c>
      <c r="E314" s="9">
        <v>24438.09978</v>
      </c>
      <c r="F314" s="9">
        <v>146</v>
      </c>
      <c r="G314" s="9">
        <v>167.38</v>
      </c>
      <c r="H314" s="9">
        <v>4.1575340000000001</v>
      </c>
      <c r="I314" s="9">
        <v>0</v>
      </c>
      <c r="J314" s="9">
        <v>0</v>
      </c>
      <c r="K314" s="62" t="s">
        <v>44</v>
      </c>
      <c r="L314" s="63" t="str">
        <f t="shared" si="8"/>
        <v>Jun-2017</v>
      </c>
      <c r="M314" s="29">
        <f t="shared" si="9"/>
        <v>42887</v>
      </c>
    </row>
    <row r="315" spans="1:13" ht="21" x14ac:dyDescent="0.35">
      <c r="A315" s="8">
        <v>2017</v>
      </c>
      <c r="B315" s="9">
        <v>6</v>
      </c>
      <c r="C315" s="17" t="s">
        <v>47</v>
      </c>
      <c r="D315" s="64" t="s">
        <v>61</v>
      </c>
      <c r="E315" s="9">
        <v>23623.71027</v>
      </c>
      <c r="F315" s="9">
        <v>289</v>
      </c>
      <c r="G315" s="9">
        <v>81.739999999999995</v>
      </c>
      <c r="H315" s="9">
        <v>4.2020900000000001</v>
      </c>
      <c r="I315" s="9">
        <v>2</v>
      </c>
      <c r="J315" s="9">
        <v>0.69</v>
      </c>
      <c r="K315" s="62" t="s">
        <v>44</v>
      </c>
      <c r="L315" s="63" t="str">
        <f t="shared" si="8"/>
        <v>Jun-2017</v>
      </c>
      <c r="M315" s="29">
        <f t="shared" si="9"/>
        <v>42887</v>
      </c>
    </row>
    <row r="316" spans="1:13" ht="21" x14ac:dyDescent="0.35">
      <c r="A316" s="8">
        <v>2017</v>
      </c>
      <c r="B316" s="9">
        <v>6</v>
      </c>
      <c r="C316" s="17" t="s">
        <v>125</v>
      </c>
      <c r="D316" s="64" t="s">
        <v>45</v>
      </c>
      <c r="E316" s="9">
        <v>16943.580030000001</v>
      </c>
      <c r="F316" s="9">
        <v>180</v>
      </c>
      <c r="G316" s="9">
        <v>94.13</v>
      </c>
      <c r="H316" s="9">
        <v>4.258426</v>
      </c>
      <c r="I316" s="9">
        <v>1</v>
      </c>
      <c r="J316" s="9">
        <v>0.56000000000000005</v>
      </c>
      <c r="K316" s="62" t="s">
        <v>44</v>
      </c>
      <c r="L316" s="63" t="str">
        <f t="shared" si="8"/>
        <v>Jun-2017</v>
      </c>
      <c r="M316" s="29">
        <f t="shared" si="9"/>
        <v>42887</v>
      </c>
    </row>
    <row r="317" spans="1:13" ht="21" x14ac:dyDescent="0.35">
      <c r="A317" s="8">
        <v>2017</v>
      </c>
      <c r="B317" s="9">
        <v>6</v>
      </c>
      <c r="C317" s="17" t="s">
        <v>76</v>
      </c>
      <c r="D317" s="64" t="s">
        <v>57</v>
      </c>
      <c r="E317" s="9">
        <v>15851.16999</v>
      </c>
      <c r="F317" s="9">
        <v>102</v>
      </c>
      <c r="G317" s="9">
        <v>155.4</v>
      </c>
      <c r="H317" s="9">
        <v>4.2450979999999996</v>
      </c>
      <c r="I317" s="9">
        <v>0</v>
      </c>
      <c r="J317" s="9">
        <v>0</v>
      </c>
      <c r="K317" s="62" t="s">
        <v>44</v>
      </c>
      <c r="L317" s="63" t="str">
        <f t="shared" si="8"/>
        <v>Jun-2017</v>
      </c>
      <c r="M317" s="29">
        <f t="shared" si="9"/>
        <v>42887</v>
      </c>
    </row>
    <row r="318" spans="1:13" ht="21" x14ac:dyDescent="0.35">
      <c r="A318" s="8">
        <v>2017</v>
      </c>
      <c r="B318" s="9">
        <v>6</v>
      </c>
      <c r="C318" s="17" t="s">
        <v>77</v>
      </c>
      <c r="D318" s="64" t="s">
        <v>49</v>
      </c>
      <c r="E318" s="9">
        <v>15476.350049999999</v>
      </c>
      <c r="F318" s="9">
        <v>152</v>
      </c>
      <c r="G318" s="9">
        <v>101.82</v>
      </c>
      <c r="H318" s="9">
        <v>4.2947009999999999</v>
      </c>
      <c r="I318" s="9">
        <v>1</v>
      </c>
      <c r="J318" s="9">
        <v>0.66</v>
      </c>
      <c r="K318" s="62" t="s">
        <v>44</v>
      </c>
      <c r="L318" s="63" t="str">
        <f t="shared" si="8"/>
        <v>Jun-2017</v>
      </c>
      <c r="M318" s="29">
        <f t="shared" si="9"/>
        <v>42887</v>
      </c>
    </row>
    <row r="319" spans="1:13" ht="21" x14ac:dyDescent="0.35">
      <c r="A319" s="8">
        <v>2017</v>
      </c>
      <c r="B319" s="9">
        <v>6</v>
      </c>
      <c r="C319" s="17" t="s">
        <v>94</v>
      </c>
      <c r="D319" s="64" t="s">
        <v>80</v>
      </c>
      <c r="E319" s="9">
        <v>9698.8100009999998</v>
      </c>
      <c r="F319" s="9">
        <v>23</v>
      </c>
      <c r="G319" s="9">
        <v>421.69</v>
      </c>
      <c r="H319" s="9">
        <v>3.7826080000000002</v>
      </c>
      <c r="I319" s="9">
        <v>0</v>
      </c>
      <c r="J319" s="9">
        <v>0</v>
      </c>
      <c r="K319" s="62" t="s">
        <v>44</v>
      </c>
      <c r="L319" s="63" t="str">
        <f t="shared" si="8"/>
        <v>Jun-2017</v>
      </c>
      <c r="M319" s="29">
        <f t="shared" si="9"/>
        <v>42887</v>
      </c>
    </row>
    <row r="320" spans="1:13" ht="21" x14ac:dyDescent="0.35">
      <c r="A320" s="8">
        <v>2017</v>
      </c>
      <c r="B320" s="9">
        <v>6</v>
      </c>
      <c r="C320" s="17" t="s">
        <v>103</v>
      </c>
      <c r="D320" s="64" t="s">
        <v>83</v>
      </c>
      <c r="E320" s="9">
        <v>8232.0899509999999</v>
      </c>
      <c r="F320" s="9">
        <v>60</v>
      </c>
      <c r="G320" s="9">
        <v>137.19999999999999</v>
      </c>
      <c r="H320" s="9">
        <v>4.4333330000000002</v>
      </c>
      <c r="I320" s="9">
        <v>0</v>
      </c>
      <c r="J320" s="9">
        <v>0</v>
      </c>
      <c r="K320" s="62" t="s">
        <v>44</v>
      </c>
      <c r="L320" s="63" t="str">
        <f t="shared" si="8"/>
        <v>Jun-2017</v>
      </c>
      <c r="M320" s="29">
        <f t="shared" si="9"/>
        <v>42887</v>
      </c>
    </row>
    <row r="321" spans="1:13" ht="21" x14ac:dyDescent="0.35">
      <c r="A321" s="8">
        <v>2017</v>
      </c>
      <c r="B321" s="9">
        <v>6</v>
      </c>
      <c r="C321" s="17" t="s">
        <v>109</v>
      </c>
      <c r="D321" s="64" t="s">
        <v>55</v>
      </c>
      <c r="E321" s="9">
        <v>7864.7400379999999</v>
      </c>
      <c r="F321" s="9">
        <v>72</v>
      </c>
      <c r="G321" s="9">
        <v>109.23</v>
      </c>
      <c r="H321" s="9">
        <v>3.7746469999999999</v>
      </c>
      <c r="I321" s="9">
        <v>0</v>
      </c>
      <c r="J321" s="9">
        <v>0</v>
      </c>
      <c r="K321" s="62" t="s">
        <v>44</v>
      </c>
      <c r="L321" s="63" t="str">
        <f t="shared" si="8"/>
        <v>Jun-2017</v>
      </c>
      <c r="M321" s="29">
        <f t="shared" si="9"/>
        <v>42887</v>
      </c>
    </row>
    <row r="322" spans="1:13" ht="21" x14ac:dyDescent="0.35">
      <c r="A322" s="8">
        <v>2017</v>
      </c>
      <c r="B322" s="9">
        <v>6</v>
      </c>
      <c r="C322" s="17" t="s">
        <v>115</v>
      </c>
      <c r="D322" s="64" t="s">
        <v>60</v>
      </c>
      <c r="E322" s="9">
        <v>7279.1300279999996</v>
      </c>
      <c r="F322" s="9">
        <v>45</v>
      </c>
      <c r="G322" s="9">
        <v>161.76</v>
      </c>
      <c r="H322" s="9">
        <v>3.8888880000000001</v>
      </c>
      <c r="I322" s="9">
        <v>0</v>
      </c>
      <c r="J322" s="9">
        <v>0</v>
      </c>
      <c r="K322" s="62" t="s">
        <v>44</v>
      </c>
      <c r="L322" s="63" t="str">
        <f t="shared" ref="L322:L385" si="10">TEXT(DATE(A322,B322,1),"mmm-yyyy")</f>
        <v>Jun-2017</v>
      </c>
      <c r="M322" s="29">
        <f t="shared" ref="M322:M385" si="11">DATE(A322,B322,1)</f>
        <v>42887</v>
      </c>
    </row>
    <row r="323" spans="1:13" ht="21" x14ac:dyDescent="0.35">
      <c r="A323" s="8">
        <v>2017</v>
      </c>
      <c r="B323" s="9">
        <v>6</v>
      </c>
      <c r="C323" s="17" t="s">
        <v>118</v>
      </c>
      <c r="D323" s="64" t="s">
        <v>65</v>
      </c>
      <c r="E323" s="9">
        <v>6831.0300159999997</v>
      </c>
      <c r="F323" s="9">
        <v>77</v>
      </c>
      <c r="G323" s="9">
        <v>88.71</v>
      </c>
      <c r="H323" s="9">
        <v>4.1052629999999999</v>
      </c>
      <c r="I323" s="9">
        <v>0</v>
      </c>
      <c r="J323" s="9">
        <v>0</v>
      </c>
      <c r="K323" s="62" t="s">
        <v>44</v>
      </c>
      <c r="L323" s="63" t="str">
        <f t="shared" si="10"/>
        <v>Jun-2017</v>
      </c>
      <c r="M323" s="29">
        <f t="shared" si="11"/>
        <v>42887</v>
      </c>
    </row>
    <row r="324" spans="1:13" ht="21" x14ac:dyDescent="0.35">
      <c r="A324" s="8">
        <v>2017</v>
      </c>
      <c r="B324" s="9">
        <v>6</v>
      </c>
      <c r="C324" s="17" t="s">
        <v>120</v>
      </c>
      <c r="D324" s="64" t="s">
        <v>46</v>
      </c>
      <c r="E324" s="9">
        <v>6757.6199770000003</v>
      </c>
      <c r="F324" s="9">
        <v>151</v>
      </c>
      <c r="G324" s="9">
        <v>44.75</v>
      </c>
      <c r="H324" s="9">
        <v>4.119205</v>
      </c>
      <c r="I324" s="9">
        <v>0</v>
      </c>
      <c r="J324" s="9">
        <v>0</v>
      </c>
      <c r="K324" s="62" t="s">
        <v>44</v>
      </c>
      <c r="L324" s="63" t="str">
        <f t="shared" si="10"/>
        <v>Jun-2017</v>
      </c>
      <c r="M324" s="29">
        <f t="shared" si="11"/>
        <v>42887</v>
      </c>
    </row>
    <row r="325" spans="1:13" ht="21" x14ac:dyDescent="0.35">
      <c r="A325" s="8">
        <v>2017</v>
      </c>
      <c r="B325" s="9">
        <v>6</v>
      </c>
      <c r="C325" s="17" t="s">
        <v>124</v>
      </c>
      <c r="D325" s="64" t="s">
        <v>0</v>
      </c>
      <c r="E325" s="9">
        <v>5527.7900259999997</v>
      </c>
      <c r="F325" s="9">
        <v>55</v>
      </c>
      <c r="G325" s="9">
        <v>100.51</v>
      </c>
      <c r="H325" s="9" t="s">
        <v>0</v>
      </c>
      <c r="I325" s="9" t="s">
        <v>0</v>
      </c>
      <c r="J325" s="9" t="s">
        <v>0</v>
      </c>
      <c r="K325" s="62" t="s">
        <v>44</v>
      </c>
      <c r="L325" s="63" t="str">
        <f t="shared" si="10"/>
        <v>Jun-2017</v>
      </c>
      <c r="M325" s="29">
        <f t="shared" si="11"/>
        <v>42887</v>
      </c>
    </row>
    <row r="326" spans="1:13" ht="21" x14ac:dyDescent="0.35">
      <c r="A326" s="8">
        <v>2017</v>
      </c>
      <c r="B326" s="9">
        <v>6</v>
      </c>
      <c r="C326" s="17" t="s">
        <v>42</v>
      </c>
      <c r="D326" s="64" t="s">
        <v>50</v>
      </c>
      <c r="E326" s="9">
        <v>5389.02009</v>
      </c>
      <c r="F326" s="9">
        <v>27</v>
      </c>
      <c r="G326" s="9">
        <v>199.59</v>
      </c>
      <c r="H326" s="9">
        <v>4.2692300000000003</v>
      </c>
      <c r="I326" s="9">
        <v>0</v>
      </c>
      <c r="J326" s="9">
        <v>0</v>
      </c>
      <c r="K326" s="62" t="s">
        <v>44</v>
      </c>
      <c r="L326" s="63" t="str">
        <f t="shared" si="10"/>
        <v>Jun-2017</v>
      </c>
      <c r="M326" s="29">
        <f t="shared" si="11"/>
        <v>42887</v>
      </c>
    </row>
    <row r="327" spans="1:13" ht="21" x14ac:dyDescent="0.35">
      <c r="A327" s="8">
        <v>2017</v>
      </c>
      <c r="B327" s="9">
        <v>6</v>
      </c>
      <c r="C327" s="17" t="s">
        <v>47</v>
      </c>
      <c r="D327" s="64" t="s">
        <v>64</v>
      </c>
      <c r="E327" s="9">
        <v>5243.5699860000004</v>
      </c>
      <c r="F327" s="9">
        <v>61</v>
      </c>
      <c r="G327" s="9">
        <v>85.96</v>
      </c>
      <c r="H327" s="9">
        <v>4.4000000000000004</v>
      </c>
      <c r="I327" s="9">
        <v>0</v>
      </c>
      <c r="J327" s="9">
        <v>0</v>
      </c>
      <c r="K327" s="62" t="s">
        <v>44</v>
      </c>
      <c r="L327" s="63" t="str">
        <f t="shared" si="10"/>
        <v>Jun-2017</v>
      </c>
      <c r="M327" s="29">
        <f t="shared" si="11"/>
        <v>42887</v>
      </c>
    </row>
    <row r="328" spans="1:13" ht="21" x14ac:dyDescent="0.35">
      <c r="A328" s="8">
        <v>2017</v>
      </c>
      <c r="B328" s="9">
        <v>6</v>
      </c>
      <c r="C328" s="17" t="s">
        <v>125</v>
      </c>
      <c r="D328" s="64" t="s">
        <v>84</v>
      </c>
      <c r="E328" s="9">
        <v>4993.0499710000004</v>
      </c>
      <c r="F328" s="9">
        <v>17</v>
      </c>
      <c r="G328" s="9">
        <v>293.70999999999998</v>
      </c>
      <c r="H328" s="9">
        <v>3.7647050000000002</v>
      </c>
      <c r="I328" s="9">
        <v>0</v>
      </c>
      <c r="J328" s="9">
        <v>0</v>
      </c>
      <c r="K328" s="62" t="s">
        <v>44</v>
      </c>
      <c r="L328" s="63" t="str">
        <f t="shared" si="10"/>
        <v>Jun-2017</v>
      </c>
      <c r="M328" s="29">
        <f t="shared" si="11"/>
        <v>42887</v>
      </c>
    </row>
    <row r="329" spans="1:13" ht="21" x14ac:dyDescent="0.35">
      <c r="A329" s="8">
        <v>2017</v>
      </c>
      <c r="B329" s="9">
        <v>6</v>
      </c>
      <c r="C329" s="17" t="s">
        <v>76</v>
      </c>
      <c r="D329" s="64" t="s">
        <v>81</v>
      </c>
      <c r="E329" s="9">
        <v>3493.5700040000002</v>
      </c>
      <c r="F329" s="9">
        <v>37</v>
      </c>
      <c r="G329" s="9">
        <v>94.42</v>
      </c>
      <c r="H329" s="9">
        <v>4.3513510000000002</v>
      </c>
      <c r="I329" s="9">
        <v>0</v>
      </c>
      <c r="J329" s="9">
        <v>0</v>
      </c>
      <c r="K329" s="62" t="s">
        <v>44</v>
      </c>
      <c r="L329" s="63" t="str">
        <f t="shared" si="10"/>
        <v>Jun-2017</v>
      </c>
      <c r="M329" s="29">
        <f t="shared" si="11"/>
        <v>42887</v>
      </c>
    </row>
    <row r="330" spans="1:13" ht="21" x14ac:dyDescent="0.35">
      <c r="A330" s="8">
        <v>2017</v>
      </c>
      <c r="B330" s="9">
        <v>6</v>
      </c>
      <c r="C330" s="17" t="s">
        <v>77</v>
      </c>
      <c r="D330" s="64" t="s">
        <v>99</v>
      </c>
      <c r="E330" s="9">
        <v>3056.1900099999998</v>
      </c>
      <c r="F330" s="9">
        <v>18</v>
      </c>
      <c r="G330" s="9">
        <v>169.79</v>
      </c>
      <c r="H330" s="9">
        <v>3.7647050000000002</v>
      </c>
      <c r="I330" s="9">
        <v>0</v>
      </c>
      <c r="J330" s="9">
        <v>0</v>
      </c>
      <c r="K330" s="62" t="s">
        <v>44</v>
      </c>
      <c r="L330" s="63" t="str">
        <f t="shared" si="10"/>
        <v>Jun-2017</v>
      </c>
      <c r="M330" s="29">
        <f t="shared" si="11"/>
        <v>42887</v>
      </c>
    </row>
    <row r="331" spans="1:13" ht="21" x14ac:dyDescent="0.35">
      <c r="A331" s="8">
        <v>2017</v>
      </c>
      <c r="B331" s="9">
        <v>6</v>
      </c>
      <c r="C331" s="17" t="s">
        <v>94</v>
      </c>
      <c r="D331" s="64" t="s">
        <v>96</v>
      </c>
      <c r="E331" s="9">
        <v>2507.1900289999999</v>
      </c>
      <c r="F331" s="9">
        <v>42</v>
      </c>
      <c r="G331" s="9">
        <v>59.7</v>
      </c>
      <c r="H331" s="9">
        <v>3.8690470000000001</v>
      </c>
      <c r="I331" s="9">
        <v>0</v>
      </c>
      <c r="J331" s="9">
        <v>0</v>
      </c>
      <c r="K331" s="62" t="s">
        <v>44</v>
      </c>
      <c r="L331" s="63" t="str">
        <f t="shared" si="10"/>
        <v>Jun-2017</v>
      </c>
      <c r="M331" s="29">
        <f t="shared" si="11"/>
        <v>42887</v>
      </c>
    </row>
    <row r="332" spans="1:13" ht="21" x14ac:dyDescent="0.35">
      <c r="A332" s="8">
        <v>2017</v>
      </c>
      <c r="B332" s="9">
        <v>6</v>
      </c>
      <c r="C332" s="17" t="s">
        <v>103</v>
      </c>
      <c r="D332" s="64" t="s">
        <v>58</v>
      </c>
      <c r="E332" s="9">
        <v>2100.039988</v>
      </c>
      <c r="F332" s="9">
        <v>40</v>
      </c>
      <c r="G332" s="9">
        <v>52.5</v>
      </c>
      <c r="H332" s="9">
        <v>4.2307689999999996</v>
      </c>
      <c r="I332" s="9">
        <v>1</v>
      </c>
      <c r="J332" s="9">
        <v>2.5</v>
      </c>
      <c r="K332" s="62" t="s">
        <v>44</v>
      </c>
      <c r="L332" s="63" t="str">
        <f t="shared" si="10"/>
        <v>Jun-2017</v>
      </c>
      <c r="M332" s="29">
        <f t="shared" si="11"/>
        <v>42887</v>
      </c>
    </row>
    <row r="333" spans="1:13" ht="21" x14ac:dyDescent="0.35">
      <c r="A333" s="8">
        <v>2017</v>
      </c>
      <c r="B333" s="9">
        <v>6</v>
      </c>
      <c r="C333" s="17" t="s">
        <v>109</v>
      </c>
      <c r="D333" s="64" t="s">
        <v>54</v>
      </c>
      <c r="E333" s="9">
        <v>2084.4800190000001</v>
      </c>
      <c r="F333" s="9">
        <v>9</v>
      </c>
      <c r="G333" s="9">
        <v>231.61</v>
      </c>
      <c r="H333" s="9">
        <v>3.8888880000000001</v>
      </c>
      <c r="I333" s="9">
        <v>0</v>
      </c>
      <c r="J333" s="9">
        <v>0</v>
      </c>
      <c r="K333" s="62" t="s">
        <v>44</v>
      </c>
      <c r="L333" s="63" t="str">
        <f t="shared" si="10"/>
        <v>Jun-2017</v>
      </c>
      <c r="M333" s="29">
        <f t="shared" si="11"/>
        <v>42887</v>
      </c>
    </row>
    <row r="334" spans="1:13" ht="21" x14ac:dyDescent="0.35">
      <c r="A334" s="8">
        <v>2017</v>
      </c>
      <c r="B334" s="9">
        <v>6</v>
      </c>
      <c r="C334" s="17" t="s">
        <v>115</v>
      </c>
      <c r="D334" s="64" t="s">
        <v>97</v>
      </c>
      <c r="E334" s="9">
        <v>1992.299984</v>
      </c>
      <c r="F334" s="9">
        <v>4</v>
      </c>
      <c r="G334" s="9">
        <v>498.07</v>
      </c>
      <c r="H334" s="9">
        <v>4</v>
      </c>
      <c r="I334" s="9">
        <v>0</v>
      </c>
      <c r="J334" s="9">
        <v>0</v>
      </c>
      <c r="K334" s="62" t="s">
        <v>44</v>
      </c>
      <c r="L334" s="63" t="str">
        <f t="shared" si="10"/>
        <v>Jun-2017</v>
      </c>
      <c r="M334" s="29">
        <f t="shared" si="11"/>
        <v>42887</v>
      </c>
    </row>
    <row r="335" spans="1:13" ht="21" x14ac:dyDescent="0.35">
      <c r="A335" s="8">
        <v>2017</v>
      </c>
      <c r="B335" s="9">
        <v>6</v>
      </c>
      <c r="C335" s="17" t="s">
        <v>118</v>
      </c>
      <c r="D335" s="64" t="s">
        <v>71</v>
      </c>
      <c r="E335" s="9">
        <v>1940.0799770000001</v>
      </c>
      <c r="F335" s="9">
        <v>20</v>
      </c>
      <c r="G335" s="9">
        <v>97</v>
      </c>
      <c r="H335" s="9">
        <v>4.55</v>
      </c>
      <c r="I335" s="9">
        <v>0</v>
      </c>
      <c r="J335" s="9">
        <v>0</v>
      </c>
      <c r="K335" s="62" t="s">
        <v>44</v>
      </c>
      <c r="L335" s="63" t="str">
        <f t="shared" si="10"/>
        <v>Jun-2017</v>
      </c>
      <c r="M335" s="29">
        <f t="shared" si="11"/>
        <v>42887</v>
      </c>
    </row>
    <row r="336" spans="1:13" ht="21" x14ac:dyDescent="0.35">
      <c r="A336" s="8">
        <v>2017</v>
      </c>
      <c r="B336" s="9">
        <v>6</v>
      </c>
      <c r="C336" s="17" t="s">
        <v>120</v>
      </c>
      <c r="D336" s="64" t="s">
        <v>82</v>
      </c>
      <c r="E336" s="9">
        <v>1713.3000030000001</v>
      </c>
      <c r="F336" s="9">
        <v>12</v>
      </c>
      <c r="G336" s="9">
        <v>142.78</v>
      </c>
      <c r="H336" s="9">
        <v>4.5833329999999997</v>
      </c>
      <c r="I336" s="9">
        <v>0</v>
      </c>
      <c r="J336" s="9">
        <v>0</v>
      </c>
      <c r="K336" s="62" t="s">
        <v>44</v>
      </c>
      <c r="L336" s="63" t="str">
        <f t="shared" si="10"/>
        <v>Jun-2017</v>
      </c>
      <c r="M336" s="29">
        <f t="shared" si="11"/>
        <v>42887</v>
      </c>
    </row>
    <row r="337" spans="1:13" ht="21" x14ac:dyDescent="0.35">
      <c r="A337" s="8">
        <v>2017</v>
      </c>
      <c r="B337" s="9">
        <v>6</v>
      </c>
      <c r="C337" s="17" t="s">
        <v>124</v>
      </c>
      <c r="D337" s="64" t="s">
        <v>69</v>
      </c>
      <c r="E337" s="9">
        <v>1671</v>
      </c>
      <c r="F337" s="9">
        <v>11</v>
      </c>
      <c r="G337" s="9">
        <v>151.91</v>
      </c>
      <c r="H337" s="9">
        <v>3.90909</v>
      </c>
      <c r="I337" s="9">
        <v>0</v>
      </c>
      <c r="J337" s="9">
        <v>0</v>
      </c>
      <c r="K337" s="62" t="s">
        <v>44</v>
      </c>
      <c r="L337" s="63" t="str">
        <f t="shared" si="10"/>
        <v>Jun-2017</v>
      </c>
      <c r="M337" s="29">
        <f t="shared" si="11"/>
        <v>42887</v>
      </c>
    </row>
    <row r="338" spans="1:13" ht="21" x14ac:dyDescent="0.35">
      <c r="A338" s="8">
        <v>2017</v>
      </c>
      <c r="B338" s="9">
        <v>6</v>
      </c>
      <c r="C338" s="17" t="s">
        <v>42</v>
      </c>
      <c r="D338" s="64" t="s">
        <v>91</v>
      </c>
      <c r="E338" s="9">
        <v>1390</v>
      </c>
      <c r="F338" s="9">
        <v>1</v>
      </c>
      <c r="G338" s="9">
        <v>1390</v>
      </c>
      <c r="H338" s="9">
        <v>1</v>
      </c>
      <c r="I338" s="9">
        <v>0</v>
      </c>
      <c r="J338" s="9">
        <v>0</v>
      </c>
      <c r="K338" s="62" t="s">
        <v>44</v>
      </c>
      <c r="L338" s="63" t="str">
        <f t="shared" si="10"/>
        <v>Jun-2017</v>
      </c>
      <c r="M338" s="29">
        <f t="shared" si="11"/>
        <v>42887</v>
      </c>
    </row>
    <row r="339" spans="1:13" ht="21" x14ac:dyDescent="0.35">
      <c r="A339" s="8">
        <v>2017</v>
      </c>
      <c r="B339" s="9">
        <v>6</v>
      </c>
      <c r="C339" s="17" t="s">
        <v>47</v>
      </c>
      <c r="D339" s="64" t="s">
        <v>74</v>
      </c>
      <c r="E339" s="9">
        <v>1351.1999929999999</v>
      </c>
      <c r="F339" s="9">
        <v>17</v>
      </c>
      <c r="G339" s="9">
        <v>79.48</v>
      </c>
      <c r="H339" s="9">
        <v>3.5588229999999998</v>
      </c>
      <c r="I339" s="9">
        <v>0</v>
      </c>
      <c r="J339" s="9">
        <v>0</v>
      </c>
      <c r="K339" s="62" t="s">
        <v>44</v>
      </c>
      <c r="L339" s="63" t="str">
        <f t="shared" si="10"/>
        <v>Jun-2017</v>
      </c>
      <c r="M339" s="29">
        <f t="shared" si="11"/>
        <v>42887</v>
      </c>
    </row>
    <row r="340" spans="1:13" ht="21" x14ac:dyDescent="0.35">
      <c r="A340" s="8">
        <v>2017</v>
      </c>
      <c r="B340" s="9">
        <v>6</v>
      </c>
      <c r="C340" s="17" t="s">
        <v>125</v>
      </c>
      <c r="D340" s="64" t="s">
        <v>59</v>
      </c>
      <c r="E340" s="9">
        <v>1258.95001</v>
      </c>
      <c r="F340" s="9">
        <v>15</v>
      </c>
      <c r="G340" s="9">
        <v>83.93</v>
      </c>
      <c r="H340" s="9">
        <v>3.9333330000000002</v>
      </c>
      <c r="I340" s="9">
        <v>0</v>
      </c>
      <c r="J340" s="9">
        <v>0</v>
      </c>
      <c r="K340" s="62" t="s">
        <v>44</v>
      </c>
      <c r="L340" s="63" t="str">
        <f t="shared" si="10"/>
        <v>Jun-2017</v>
      </c>
      <c r="M340" s="29">
        <f t="shared" si="11"/>
        <v>42887</v>
      </c>
    </row>
    <row r="341" spans="1:13" ht="21" x14ac:dyDescent="0.35">
      <c r="A341" s="8">
        <v>2017</v>
      </c>
      <c r="B341" s="9">
        <v>6</v>
      </c>
      <c r="C341" s="17" t="s">
        <v>76</v>
      </c>
      <c r="D341" s="64" t="s">
        <v>79</v>
      </c>
      <c r="E341" s="9">
        <v>1213.8699799999999</v>
      </c>
      <c r="F341" s="9">
        <v>6</v>
      </c>
      <c r="G341" s="9">
        <v>202.31</v>
      </c>
      <c r="H341" s="9">
        <v>3.5</v>
      </c>
      <c r="I341" s="9">
        <v>0</v>
      </c>
      <c r="J341" s="9">
        <v>0</v>
      </c>
      <c r="K341" s="62" t="s">
        <v>44</v>
      </c>
      <c r="L341" s="63" t="str">
        <f t="shared" si="10"/>
        <v>Jun-2017</v>
      </c>
      <c r="M341" s="29">
        <f t="shared" si="11"/>
        <v>42887</v>
      </c>
    </row>
    <row r="342" spans="1:13" ht="21" x14ac:dyDescent="0.35">
      <c r="A342" s="8">
        <v>2017</v>
      </c>
      <c r="B342" s="9">
        <v>6</v>
      </c>
      <c r="C342" s="17" t="s">
        <v>77</v>
      </c>
      <c r="D342" s="64" t="s">
        <v>93</v>
      </c>
      <c r="E342" s="9">
        <v>1066.9000020000001</v>
      </c>
      <c r="F342" s="9">
        <v>4</v>
      </c>
      <c r="G342" s="9">
        <v>266.73</v>
      </c>
      <c r="H342" s="9">
        <v>3.25</v>
      </c>
      <c r="I342" s="9">
        <v>0</v>
      </c>
      <c r="J342" s="9">
        <v>0</v>
      </c>
      <c r="K342" s="62" t="s">
        <v>44</v>
      </c>
      <c r="L342" s="63" t="str">
        <f t="shared" si="10"/>
        <v>Jun-2017</v>
      </c>
      <c r="M342" s="29">
        <f t="shared" si="11"/>
        <v>42887</v>
      </c>
    </row>
    <row r="343" spans="1:13" ht="21" x14ac:dyDescent="0.35">
      <c r="A343" s="8">
        <v>2017</v>
      </c>
      <c r="B343" s="9">
        <v>6</v>
      </c>
      <c r="C343" s="17" t="s">
        <v>94</v>
      </c>
      <c r="D343" s="64" t="s">
        <v>63</v>
      </c>
      <c r="E343" s="9">
        <v>933.67001909999999</v>
      </c>
      <c r="F343" s="9">
        <v>12</v>
      </c>
      <c r="G343" s="9">
        <v>77.81</v>
      </c>
      <c r="H343" s="9">
        <v>4.3333329999999997</v>
      </c>
      <c r="I343" s="9">
        <v>0</v>
      </c>
      <c r="J343" s="9">
        <v>0</v>
      </c>
      <c r="K343" s="62" t="s">
        <v>44</v>
      </c>
      <c r="L343" s="63" t="str">
        <f t="shared" si="10"/>
        <v>Jun-2017</v>
      </c>
      <c r="M343" s="29">
        <f t="shared" si="11"/>
        <v>42887</v>
      </c>
    </row>
    <row r="344" spans="1:13" ht="21" x14ac:dyDescent="0.35">
      <c r="A344" s="8">
        <v>2017</v>
      </c>
      <c r="B344" s="9">
        <v>6</v>
      </c>
      <c r="C344" s="17" t="s">
        <v>103</v>
      </c>
      <c r="D344" s="64" t="s">
        <v>95</v>
      </c>
      <c r="E344" s="9">
        <v>594</v>
      </c>
      <c r="F344" s="9">
        <v>6</v>
      </c>
      <c r="G344" s="9">
        <v>99</v>
      </c>
      <c r="H344" s="9">
        <v>5</v>
      </c>
      <c r="I344" s="9">
        <v>0</v>
      </c>
      <c r="J344" s="9">
        <v>0</v>
      </c>
      <c r="K344" s="62" t="s">
        <v>44</v>
      </c>
      <c r="L344" s="63" t="str">
        <f t="shared" si="10"/>
        <v>Jun-2017</v>
      </c>
      <c r="M344" s="29">
        <f t="shared" si="11"/>
        <v>42887</v>
      </c>
    </row>
    <row r="345" spans="1:13" ht="21" x14ac:dyDescent="0.35">
      <c r="A345" s="8">
        <v>2017</v>
      </c>
      <c r="B345" s="9">
        <v>6</v>
      </c>
      <c r="C345" s="17" t="s">
        <v>109</v>
      </c>
      <c r="D345" s="64" t="s">
        <v>75</v>
      </c>
      <c r="E345" s="9">
        <v>569.69001200000002</v>
      </c>
      <c r="F345" s="9">
        <v>8</v>
      </c>
      <c r="G345" s="9">
        <v>71.209999999999994</v>
      </c>
      <c r="H345" s="9">
        <v>3.375</v>
      </c>
      <c r="I345" s="9">
        <v>0</v>
      </c>
      <c r="J345" s="9">
        <v>0</v>
      </c>
      <c r="K345" s="62" t="s">
        <v>44</v>
      </c>
      <c r="L345" s="63" t="str">
        <f t="shared" si="10"/>
        <v>Jun-2017</v>
      </c>
      <c r="M345" s="29">
        <f t="shared" si="11"/>
        <v>42887</v>
      </c>
    </row>
    <row r="346" spans="1:13" ht="21" x14ac:dyDescent="0.35">
      <c r="A346" s="8">
        <v>2017</v>
      </c>
      <c r="B346" s="9">
        <v>6</v>
      </c>
      <c r="C346" s="17" t="s">
        <v>115</v>
      </c>
      <c r="D346" s="64" t="s">
        <v>108</v>
      </c>
      <c r="E346" s="9">
        <v>495.48999980000002</v>
      </c>
      <c r="F346" s="9">
        <v>6</v>
      </c>
      <c r="G346" s="9">
        <v>82.58</v>
      </c>
      <c r="H346" s="9">
        <v>4.3333329999999997</v>
      </c>
      <c r="I346" s="9">
        <v>0</v>
      </c>
      <c r="J346" s="9">
        <v>0</v>
      </c>
      <c r="K346" s="62" t="s">
        <v>44</v>
      </c>
      <c r="L346" s="63" t="str">
        <f t="shared" si="10"/>
        <v>Jun-2017</v>
      </c>
      <c r="M346" s="29">
        <f t="shared" si="11"/>
        <v>42887</v>
      </c>
    </row>
    <row r="347" spans="1:13" ht="21" x14ac:dyDescent="0.35">
      <c r="A347" s="8">
        <v>2017</v>
      </c>
      <c r="B347" s="9">
        <v>6</v>
      </c>
      <c r="C347" s="17" t="s">
        <v>118</v>
      </c>
      <c r="D347" s="64" t="s">
        <v>98</v>
      </c>
      <c r="E347" s="9">
        <v>434.68999860000002</v>
      </c>
      <c r="F347" s="9">
        <v>3</v>
      </c>
      <c r="G347" s="9">
        <v>144.9</v>
      </c>
      <c r="H347" s="9">
        <v>4.6666660000000002</v>
      </c>
      <c r="I347" s="9">
        <v>0</v>
      </c>
      <c r="J347" s="9">
        <v>0</v>
      </c>
      <c r="K347" s="62" t="s">
        <v>44</v>
      </c>
      <c r="L347" s="63" t="str">
        <f t="shared" si="10"/>
        <v>Jun-2017</v>
      </c>
      <c r="M347" s="29">
        <f t="shared" si="11"/>
        <v>42887</v>
      </c>
    </row>
    <row r="348" spans="1:13" ht="21" x14ac:dyDescent="0.35">
      <c r="A348" s="8">
        <v>2017</v>
      </c>
      <c r="B348" s="9">
        <v>6</v>
      </c>
      <c r="C348" s="17" t="s">
        <v>120</v>
      </c>
      <c r="D348" s="64" t="s">
        <v>105</v>
      </c>
      <c r="E348" s="9">
        <v>421.7000122</v>
      </c>
      <c r="F348" s="9">
        <v>5</v>
      </c>
      <c r="G348" s="9">
        <v>84.34</v>
      </c>
      <c r="H348" s="9">
        <v>3.4</v>
      </c>
      <c r="I348" s="9">
        <v>0</v>
      </c>
      <c r="J348" s="9">
        <v>0</v>
      </c>
      <c r="K348" s="62" t="s">
        <v>44</v>
      </c>
      <c r="L348" s="63" t="str">
        <f t="shared" si="10"/>
        <v>Jun-2017</v>
      </c>
      <c r="M348" s="29">
        <f t="shared" si="11"/>
        <v>42887</v>
      </c>
    </row>
    <row r="349" spans="1:13" ht="21" x14ac:dyDescent="0.35">
      <c r="A349" s="8">
        <v>2017</v>
      </c>
      <c r="B349" s="9">
        <v>6</v>
      </c>
      <c r="C349" s="17" t="s">
        <v>124</v>
      </c>
      <c r="D349" s="64" t="s">
        <v>85</v>
      </c>
      <c r="E349" s="9">
        <v>376.36999509999998</v>
      </c>
      <c r="F349" s="9">
        <v>4</v>
      </c>
      <c r="G349" s="9">
        <v>94.09</v>
      </c>
      <c r="H349" s="9">
        <v>3.5</v>
      </c>
      <c r="I349" s="9">
        <v>0</v>
      </c>
      <c r="J349" s="9">
        <v>0</v>
      </c>
      <c r="K349" s="62" t="s">
        <v>44</v>
      </c>
      <c r="L349" s="63" t="str">
        <f t="shared" si="10"/>
        <v>Jun-2017</v>
      </c>
      <c r="M349" s="29">
        <f t="shared" si="11"/>
        <v>42887</v>
      </c>
    </row>
    <row r="350" spans="1:13" ht="21" x14ac:dyDescent="0.35">
      <c r="A350" s="8">
        <v>2017</v>
      </c>
      <c r="B350" s="9">
        <v>6</v>
      </c>
      <c r="C350" s="17" t="s">
        <v>42</v>
      </c>
      <c r="D350" s="64" t="s">
        <v>88</v>
      </c>
      <c r="E350" s="9">
        <v>374.80000310000003</v>
      </c>
      <c r="F350" s="9">
        <v>4</v>
      </c>
      <c r="G350" s="9">
        <v>93.7</v>
      </c>
      <c r="H350" s="9">
        <v>4.75</v>
      </c>
      <c r="I350" s="9">
        <v>0</v>
      </c>
      <c r="J350" s="9">
        <v>0</v>
      </c>
      <c r="K350" s="62" t="s">
        <v>44</v>
      </c>
      <c r="L350" s="63" t="str">
        <f t="shared" si="10"/>
        <v>Jun-2017</v>
      </c>
      <c r="M350" s="29">
        <f t="shared" si="11"/>
        <v>42887</v>
      </c>
    </row>
    <row r="351" spans="1:13" ht="21" x14ac:dyDescent="0.35">
      <c r="A351" s="8">
        <v>2017</v>
      </c>
      <c r="B351" s="9">
        <v>6</v>
      </c>
      <c r="C351" s="17" t="s">
        <v>47</v>
      </c>
      <c r="D351" s="64" t="s">
        <v>89</v>
      </c>
      <c r="E351" s="9">
        <v>308.98999789999999</v>
      </c>
      <c r="F351" s="9">
        <v>2</v>
      </c>
      <c r="G351" s="9">
        <v>154.49</v>
      </c>
      <c r="H351" s="9">
        <v>5</v>
      </c>
      <c r="I351" s="9">
        <v>0</v>
      </c>
      <c r="J351" s="9">
        <v>0</v>
      </c>
      <c r="K351" s="62" t="s">
        <v>44</v>
      </c>
      <c r="L351" s="63" t="str">
        <f t="shared" si="10"/>
        <v>Jun-2017</v>
      </c>
      <c r="M351" s="29">
        <f t="shared" si="11"/>
        <v>42887</v>
      </c>
    </row>
    <row r="352" spans="1:13" ht="21" x14ac:dyDescent="0.35">
      <c r="A352" s="8">
        <v>2017</v>
      </c>
      <c r="B352" s="9">
        <v>6</v>
      </c>
      <c r="C352" s="17" t="s">
        <v>125</v>
      </c>
      <c r="D352" s="64" t="s">
        <v>67</v>
      </c>
      <c r="E352" s="9">
        <v>276.97000120000001</v>
      </c>
      <c r="F352" s="9">
        <v>2</v>
      </c>
      <c r="G352" s="9">
        <v>138.49</v>
      </c>
      <c r="H352" s="9">
        <v>4.5</v>
      </c>
      <c r="I352" s="9">
        <v>0</v>
      </c>
      <c r="J352" s="9">
        <v>0</v>
      </c>
      <c r="K352" s="62" t="s">
        <v>44</v>
      </c>
      <c r="L352" s="63" t="str">
        <f t="shared" si="10"/>
        <v>Jun-2017</v>
      </c>
      <c r="M352" s="29">
        <f t="shared" si="11"/>
        <v>42887</v>
      </c>
    </row>
    <row r="353" spans="1:13" ht="21" x14ac:dyDescent="0.35">
      <c r="A353" s="8">
        <v>2017</v>
      </c>
      <c r="B353" s="9">
        <v>6</v>
      </c>
      <c r="C353" s="17" t="s">
        <v>76</v>
      </c>
      <c r="D353" s="64" t="s">
        <v>107</v>
      </c>
      <c r="E353" s="9">
        <v>273.89999390000003</v>
      </c>
      <c r="F353" s="9">
        <v>2</v>
      </c>
      <c r="G353" s="9">
        <v>136.94999999999999</v>
      </c>
      <c r="H353" s="9">
        <v>3.5</v>
      </c>
      <c r="I353" s="9">
        <v>0</v>
      </c>
      <c r="J353" s="9">
        <v>0</v>
      </c>
      <c r="K353" s="62" t="s">
        <v>44</v>
      </c>
      <c r="L353" s="63" t="str">
        <f t="shared" si="10"/>
        <v>Jun-2017</v>
      </c>
      <c r="M353" s="29">
        <f t="shared" si="11"/>
        <v>42887</v>
      </c>
    </row>
    <row r="354" spans="1:13" ht="21" x14ac:dyDescent="0.35">
      <c r="A354" s="8">
        <v>2017</v>
      </c>
      <c r="B354" s="9">
        <v>6</v>
      </c>
      <c r="C354" s="17" t="s">
        <v>77</v>
      </c>
      <c r="D354" s="64" t="s">
        <v>113</v>
      </c>
      <c r="E354" s="9">
        <v>184.7000008</v>
      </c>
      <c r="F354" s="9">
        <v>2</v>
      </c>
      <c r="G354" s="9">
        <v>92.35</v>
      </c>
      <c r="H354" s="9">
        <v>4.5</v>
      </c>
      <c r="I354" s="9">
        <v>0</v>
      </c>
      <c r="J354" s="9">
        <v>0</v>
      </c>
      <c r="K354" s="62" t="s">
        <v>44</v>
      </c>
      <c r="L354" s="63" t="str">
        <f t="shared" si="10"/>
        <v>Jun-2017</v>
      </c>
      <c r="M354" s="29">
        <f t="shared" si="11"/>
        <v>42887</v>
      </c>
    </row>
    <row r="355" spans="1:13" ht="21" x14ac:dyDescent="0.35">
      <c r="A355" s="8">
        <v>2017</v>
      </c>
      <c r="B355" s="9">
        <v>6</v>
      </c>
      <c r="C355" s="17" t="s">
        <v>94</v>
      </c>
      <c r="D355" s="64" t="s">
        <v>73</v>
      </c>
      <c r="E355" s="9">
        <v>154.8000011</v>
      </c>
      <c r="F355" s="9">
        <v>3</v>
      </c>
      <c r="G355" s="9">
        <v>51.6</v>
      </c>
      <c r="H355" s="9">
        <v>3.6666660000000002</v>
      </c>
      <c r="I355" s="9">
        <v>0</v>
      </c>
      <c r="J355" s="9">
        <v>0</v>
      </c>
      <c r="K355" s="62" t="s">
        <v>44</v>
      </c>
      <c r="L355" s="63" t="str">
        <f t="shared" si="10"/>
        <v>Jun-2017</v>
      </c>
      <c r="M355" s="29">
        <f t="shared" si="11"/>
        <v>42887</v>
      </c>
    </row>
    <row r="356" spans="1:13" ht="21" x14ac:dyDescent="0.35">
      <c r="A356" s="8">
        <v>2017</v>
      </c>
      <c r="B356" s="9">
        <v>6</v>
      </c>
      <c r="C356" s="17" t="s">
        <v>103</v>
      </c>
      <c r="D356" s="64" t="s">
        <v>72</v>
      </c>
      <c r="E356" s="9">
        <v>149.8999939</v>
      </c>
      <c r="F356" s="9">
        <v>1</v>
      </c>
      <c r="G356" s="9">
        <v>149.9</v>
      </c>
      <c r="H356" s="9">
        <v>5</v>
      </c>
      <c r="I356" s="9">
        <v>0</v>
      </c>
      <c r="J356" s="9">
        <v>0</v>
      </c>
      <c r="K356" s="62" t="s">
        <v>44</v>
      </c>
      <c r="L356" s="63" t="str">
        <f t="shared" si="10"/>
        <v>Jun-2017</v>
      </c>
      <c r="M356" s="29">
        <f t="shared" si="11"/>
        <v>42887</v>
      </c>
    </row>
    <row r="357" spans="1:13" ht="21" x14ac:dyDescent="0.35">
      <c r="A357" s="8">
        <v>2017</v>
      </c>
      <c r="B357" s="9">
        <v>6</v>
      </c>
      <c r="C357" s="17" t="s">
        <v>109</v>
      </c>
      <c r="D357" s="64" t="s">
        <v>68</v>
      </c>
      <c r="E357" s="9">
        <v>145.9000015</v>
      </c>
      <c r="F357" s="9">
        <v>2</v>
      </c>
      <c r="G357" s="9">
        <v>72.95</v>
      </c>
      <c r="H357" s="9">
        <v>5</v>
      </c>
      <c r="I357" s="9">
        <v>0</v>
      </c>
      <c r="J357" s="9">
        <v>0</v>
      </c>
      <c r="K357" s="62" t="s">
        <v>44</v>
      </c>
      <c r="L357" s="63" t="str">
        <f t="shared" si="10"/>
        <v>Jun-2017</v>
      </c>
      <c r="M357" s="29">
        <f t="shared" si="11"/>
        <v>42887</v>
      </c>
    </row>
    <row r="358" spans="1:13" ht="21" x14ac:dyDescent="0.35">
      <c r="A358" s="8">
        <v>2017</v>
      </c>
      <c r="B358" s="9">
        <v>6</v>
      </c>
      <c r="C358" s="17" t="s">
        <v>115</v>
      </c>
      <c r="D358" s="64" t="s">
        <v>111</v>
      </c>
      <c r="E358" s="9">
        <v>129.9900055</v>
      </c>
      <c r="F358" s="9">
        <v>1</v>
      </c>
      <c r="G358" s="9">
        <v>129.99</v>
      </c>
      <c r="H358" s="9">
        <v>4</v>
      </c>
      <c r="I358" s="9">
        <v>0</v>
      </c>
      <c r="J358" s="9">
        <v>0</v>
      </c>
      <c r="K358" s="62" t="s">
        <v>44</v>
      </c>
      <c r="L358" s="63" t="str">
        <f t="shared" si="10"/>
        <v>Jun-2017</v>
      </c>
      <c r="M358" s="29">
        <f t="shared" si="11"/>
        <v>42887</v>
      </c>
    </row>
    <row r="359" spans="1:13" ht="21" x14ac:dyDescent="0.35">
      <c r="A359" s="8">
        <v>2017</v>
      </c>
      <c r="B359" s="9">
        <v>6</v>
      </c>
      <c r="C359" s="17" t="s">
        <v>118</v>
      </c>
      <c r="D359" s="64" t="s">
        <v>92</v>
      </c>
      <c r="E359" s="9">
        <v>126.68999669999999</v>
      </c>
      <c r="F359" s="9">
        <v>4</v>
      </c>
      <c r="G359" s="9">
        <v>31.67</v>
      </c>
      <c r="H359" s="9">
        <v>4.75</v>
      </c>
      <c r="I359" s="9">
        <v>0</v>
      </c>
      <c r="J359" s="9">
        <v>0</v>
      </c>
      <c r="K359" s="62" t="s">
        <v>44</v>
      </c>
      <c r="L359" s="63" t="str">
        <f t="shared" si="10"/>
        <v>Jun-2017</v>
      </c>
      <c r="M359" s="29">
        <f t="shared" si="11"/>
        <v>42887</v>
      </c>
    </row>
    <row r="360" spans="1:13" ht="21" x14ac:dyDescent="0.35">
      <c r="A360" s="8">
        <v>2017</v>
      </c>
      <c r="B360" s="9">
        <v>6</v>
      </c>
      <c r="C360" s="17" t="s">
        <v>120</v>
      </c>
      <c r="D360" s="64" t="s">
        <v>116</v>
      </c>
      <c r="E360" s="9">
        <v>110</v>
      </c>
      <c r="F360" s="9">
        <v>1</v>
      </c>
      <c r="G360" s="9">
        <v>110</v>
      </c>
      <c r="H360" s="9">
        <v>5</v>
      </c>
      <c r="I360" s="9">
        <v>0</v>
      </c>
      <c r="J360" s="9">
        <v>0</v>
      </c>
      <c r="K360" s="62" t="s">
        <v>44</v>
      </c>
      <c r="L360" s="63" t="str">
        <f t="shared" si="10"/>
        <v>Jun-2017</v>
      </c>
      <c r="M360" s="29">
        <f t="shared" si="11"/>
        <v>42887</v>
      </c>
    </row>
    <row r="361" spans="1:13" ht="21" x14ac:dyDescent="0.35">
      <c r="A361" s="8">
        <v>2017</v>
      </c>
      <c r="B361" s="9">
        <v>6</v>
      </c>
      <c r="C361" s="17" t="s">
        <v>124</v>
      </c>
      <c r="D361" s="64" t="s">
        <v>101</v>
      </c>
      <c r="E361" s="9">
        <v>99</v>
      </c>
      <c r="F361" s="9">
        <v>1</v>
      </c>
      <c r="G361" s="9">
        <v>99</v>
      </c>
      <c r="H361" s="9">
        <v>5</v>
      </c>
      <c r="I361" s="9">
        <v>0</v>
      </c>
      <c r="J361" s="9">
        <v>0</v>
      </c>
      <c r="K361" s="62" t="s">
        <v>44</v>
      </c>
      <c r="L361" s="63" t="str">
        <f t="shared" si="10"/>
        <v>Jun-2017</v>
      </c>
      <c r="M361" s="29">
        <f t="shared" si="11"/>
        <v>42887</v>
      </c>
    </row>
    <row r="362" spans="1:13" ht="21" x14ac:dyDescent="0.35">
      <c r="A362" s="8">
        <v>2017</v>
      </c>
      <c r="B362" s="9">
        <v>6</v>
      </c>
      <c r="C362" s="17" t="s">
        <v>42</v>
      </c>
      <c r="D362" s="64" t="s">
        <v>102</v>
      </c>
      <c r="E362" s="9">
        <v>79</v>
      </c>
      <c r="F362" s="9">
        <v>1</v>
      </c>
      <c r="G362" s="9">
        <v>79</v>
      </c>
      <c r="H362" s="9">
        <v>5</v>
      </c>
      <c r="I362" s="9">
        <v>0</v>
      </c>
      <c r="J362" s="9">
        <v>0</v>
      </c>
      <c r="K362" s="62" t="s">
        <v>44</v>
      </c>
      <c r="L362" s="63" t="str">
        <f t="shared" si="10"/>
        <v>Jun-2017</v>
      </c>
      <c r="M362" s="29">
        <f t="shared" si="11"/>
        <v>42887</v>
      </c>
    </row>
    <row r="363" spans="1:13" ht="21" x14ac:dyDescent="0.35">
      <c r="A363" s="8">
        <v>2017</v>
      </c>
      <c r="B363" s="9">
        <v>6</v>
      </c>
      <c r="C363" s="17" t="s">
        <v>47</v>
      </c>
      <c r="D363" s="64" t="s">
        <v>119</v>
      </c>
      <c r="E363" s="9">
        <v>71.900001529999997</v>
      </c>
      <c r="F363" s="9">
        <v>1</v>
      </c>
      <c r="G363" s="9">
        <v>71.900000000000006</v>
      </c>
      <c r="H363" s="9">
        <v>5</v>
      </c>
      <c r="I363" s="9">
        <v>0</v>
      </c>
      <c r="J363" s="9">
        <v>0</v>
      </c>
      <c r="K363" s="62" t="s">
        <v>44</v>
      </c>
      <c r="L363" s="63" t="str">
        <f t="shared" si="10"/>
        <v>Jun-2017</v>
      </c>
      <c r="M363" s="29">
        <f t="shared" si="11"/>
        <v>42887</v>
      </c>
    </row>
    <row r="364" spans="1:13" ht="21" x14ac:dyDescent="0.35">
      <c r="A364" s="8">
        <v>2017</v>
      </c>
      <c r="B364" s="9">
        <v>6</v>
      </c>
      <c r="C364" s="17" t="s">
        <v>125</v>
      </c>
      <c r="D364" s="64" t="s">
        <v>106</v>
      </c>
      <c r="E364" s="9">
        <v>57.399999620000003</v>
      </c>
      <c r="F364" s="9">
        <v>2</v>
      </c>
      <c r="G364" s="9">
        <v>28.7</v>
      </c>
      <c r="H364" s="9">
        <v>5</v>
      </c>
      <c r="I364" s="9">
        <v>0</v>
      </c>
      <c r="J364" s="9">
        <v>0</v>
      </c>
      <c r="K364" s="62" t="s">
        <v>44</v>
      </c>
      <c r="L364" s="63" t="str">
        <f t="shared" si="10"/>
        <v>Jun-2017</v>
      </c>
      <c r="M364" s="29">
        <f t="shared" si="11"/>
        <v>42887</v>
      </c>
    </row>
    <row r="365" spans="1:13" ht="21" x14ac:dyDescent="0.35">
      <c r="A365" s="8">
        <v>2017</v>
      </c>
      <c r="B365" s="9">
        <v>6</v>
      </c>
      <c r="C365" s="17" t="s">
        <v>76</v>
      </c>
      <c r="D365" s="64" t="s">
        <v>104</v>
      </c>
      <c r="E365" s="9">
        <v>49.990001679999999</v>
      </c>
      <c r="F365" s="9">
        <v>1</v>
      </c>
      <c r="G365" s="9">
        <v>49.99</v>
      </c>
      <c r="H365" s="9">
        <v>4</v>
      </c>
      <c r="I365" s="9">
        <v>0</v>
      </c>
      <c r="J365" s="9">
        <v>0</v>
      </c>
      <c r="K365" s="62" t="s">
        <v>44</v>
      </c>
      <c r="L365" s="63" t="str">
        <f t="shared" si="10"/>
        <v>Jun-2017</v>
      </c>
      <c r="M365" s="29">
        <f t="shared" si="11"/>
        <v>42887</v>
      </c>
    </row>
    <row r="366" spans="1:13" ht="21" x14ac:dyDescent="0.35">
      <c r="A366" s="8">
        <v>2017</v>
      </c>
      <c r="B366" s="9">
        <v>6</v>
      </c>
      <c r="C366" s="17" t="s">
        <v>77</v>
      </c>
      <c r="D366" s="64" t="s">
        <v>90</v>
      </c>
      <c r="E366" s="9">
        <v>12.899999619999999</v>
      </c>
      <c r="F366" s="9">
        <v>1</v>
      </c>
      <c r="G366" s="9">
        <v>12.9</v>
      </c>
      <c r="H366" s="9">
        <v>5</v>
      </c>
      <c r="I366" s="9">
        <v>0</v>
      </c>
      <c r="J366" s="9">
        <v>0</v>
      </c>
      <c r="K366" s="62" t="s">
        <v>44</v>
      </c>
      <c r="L366" s="63" t="str">
        <f t="shared" si="10"/>
        <v>Jun-2017</v>
      </c>
      <c r="M366" s="29">
        <f t="shared" si="11"/>
        <v>42887</v>
      </c>
    </row>
    <row r="367" spans="1:13" ht="21" x14ac:dyDescent="0.35">
      <c r="A367" s="8">
        <v>2017</v>
      </c>
      <c r="B367" s="9">
        <v>6</v>
      </c>
      <c r="C367" s="17" t="s">
        <v>94</v>
      </c>
      <c r="D367" s="64" t="s">
        <v>87</v>
      </c>
      <c r="E367" s="9">
        <v>3.9000000950000002</v>
      </c>
      <c r="F367" s="9">
        <v>1</v>
      </c>
      <c r="G367" s="9">
        <v>3.9</v>
      </c>
      <c r="H367" s="9">
        <v>5</v>
      </c>
      <c r="I367" s="9">
        <v>0</v>
      </c>
      <c r="J367" s="9">
        <v>0</v>
      </c>
      <c r="K367" s="62" t="s">
        <v>44</v>
      </c>
      <c r="L367" s="63" t="str">
        <f t="shared" si="10"/>
        <v>Jun-2017</v>
      </c>
      <c r="M367" s="29">
        <f t="shared" si="11"/>
        <v>42887</v>
      </c>
    </row>
    <row r="368" spans="1:13" ht="21" x14ac:dyDescent="0.35">
      <c r="A368" s="8">
        <v>2017</v>
      </c>
      <c r="B368" s="9">
        <v>7</v>
      </c>
      <c r="C368" s="17" t="s">
        <v>103</v>
      </c>
      <c r="D368" s="64" t="s">
        <v>66</v>
      </c>
      <c r="E368" s="9">
        <v>63888.75</v>
      </c>
      <c r="F368" s="9">
        <v>513</v>
      </c>
      <c r="G368" s="9">
        <v>124.54</v>
      </c>
      <c r="H368" s="9">
        <v>4.1597220000000004</v>
      </c>
      <c r="I368" s="9">
        <v>1</v>
      </c>
      <c r="J368" s="9">
        <v>0.19</v>
      </c>
      <c r="K368" s="62" t="s">
        <v>44</v>
      </c>
      <c r="L368" s="63" t="str">
        <f t="shared" si="10"/>
        <v>Jul-2017</v>
      </c>
      <c r="M368" s="29">
        <f t="shared" si="11"/>
        <v>42917</v>
      </c>
    </row>
    <row r="369" spans="1:13" ht="21" x14ac:dyDescent="0.35">
      <c r="A369" s="8">
        <v>2017</v>
      </c>
      <c r="B369" s="9">
        <v>7</v>
      </c>
      <c r="C369" s="17" t="s">
        <v>109</v>
      </c>
      <c r="D369" s="64" t="s">
        <v>52</v>
      </c>
      <c r="E369" s="9">
        <v>38813.409970000001</v>
      </c>
      <c r="F369" s="9">
        <v>337</v>
      </c>
      <c r="G369" s="9">
        <v>115.17</v>
      </c>
      <c r="H369" s="9">
        <v>4.2925370000000003</v>
      </c>
      <c r="I369" s="9">
        <v>3</v>
      </c>
      <c r="J369" s="9">
        <v>0.89</v>
      </c>
      <c r="K369" s="62" t="s">
        <v>44</v>
      </c>
      <c r="L369" s="63" t="str">
        <f t="shared" si="10"/>
        <v>Jul-2017</v>
      </c>
      <c r="M369" s="29">
        <f t="shared" si="11"/>
        <v>42917</v>
      </c>
    </row>
    <row r="370" spans="1:13" ht="21" x14ac:dyDescent="0.35">
      <c r="A370" s="8">
        <v>2017</v>
      </c>
      <c r="B370" s="9">
        <v>7</v>
      </c>
      <c r="C370" s="17" t="s">
        <v>115</v>
      </c>
      <c r="D370" s="64" t="s">
        <v>56</v>
      </c>
      <c r="E370" s="9">
        <v>38708.999920000002</v>
      </c>
      <c r="F370" s="9">
        <v>274</v>
      </c>
      <c r="G370" s="9">
        <v>141.27000000000001</v>
      </c>
      <c r="H370" s="9">
        <v>4.1771209999999996</v>
      </c>
      <c r="I370" s="9">
        <v>2</v>
      </c>
      <c r="J370" s="9">
        <v>0.73</v>
      </c>
      <c r="K370" s="62" t="s">
        <v>44</v>
      </c>
      <c r="L370" s="63" t="str">
        <f t="shared" si="10"/>
        <v>Jul-2017</v>
      </c>
      <c r="M370" s="29">
        <f t="shared" si="11"/>
        <v>42917</v>
      </c>
    </row>
    <row r="371" spans="1:13" ht="21" x14ac:dyDescent="0.35">
      <c r="A371" s="8">
        <v>2017</v>
      </c>
      <c r="B371" s="9">
        <v>7</v>
      </c>
      <c r="C371" s="17" t="s">
        <v>118</v>
      </c>
      <c r="D371" s="64" t="s">
        <v>62</v>
      </c>
      <c r="E371" s="9">
        <v>37506.760060000001</v>
      </c>
      <c r="F371" s="9">
        <v>222</v>
      </c>
      <c r="G371" s="9">
        <v>168.95</v>
      </c>
      <c r="H371" s="9">
        <v>4.2727269999999997</v>
      </c>
      <c r="I371" s="9">
        <v>0</v>
      </c>
      <c r="J371" s="9">
        <v>0</v>
      </c>
      <c r="K371" s="62" t="s">
        <v>44</v>
      </c>
      <c r="L371" s="63" t="str">
        <f t="shared" si="10"/>
        <v>Jul-2017</v>
      </c>
      <c r="M371" s="29">
        <f t="shared" si="11"/>
        <v>42917</v>
      </c>
    </row>
    <row r="372" spans="1:13" ht="21" x14ac:dyDescent="0.35">
      <c r="A372" s="8">
        <v>2017</v>
      </c>
      <c r="B372" s="9">
        <v>7</v>
      </c>
      <c r="C372" s="17" t="s">
        <v>120</v>
      </c>
      <c r="D372" s="64" t="s">
        <v>51</v>
      </c>
      <c r="E372" s="9">
        <v>36804.559990000002</v>
      </c>
      <c r="F372" s="9">
        <v>157</v>
      </c>
      <c r="G372" s="9">
        <v>234.42</v>
      </c>
      <c r="H372" s="9">
        <v>4.0576920000000003</v>
      </c>
      <c r="I372" s="9">
        <v>1</v>
      </c>
      <c r="J372" s="9">
        <v>0.64</v>
      </c>
      <c r="K372" s="62" t="s">
        <v>44</v>
      </c>
      <c r="L372" s="63" t="str">
        <f t="shared" si="10"/>
        <v>Jul-2017</v>
      </c>
      <c r="M372" s="29">
        <f t="shared" si="11"/>
        <v>42917</v>
      </c>
    </row>
    <row r="373" spans="1:13" ht="21" x14ac:dyDescent="0.35">
      <c r="A373" s="8">
        <v>2017</v>
      </c>
      <c r="B373" s="9">
        <v>7</v>
      </c>
      <c r="C373" s="17" t="s">
        <v>124</v>
      </c>
      <c r="D373" s="64" t="s">
        <v>43</v>
      </c>
      <c r="E373" s="9">
        <v>34896.859980000001</v>
      </c>
      <c r="F373" s="9">
        <v>278</v>
      </c>
      <c r="G373" s="9">
        <v>125.53</v>
      </c>
      <c r="H373" s="9">
        <v>4.1257520000000003</v>
      </c>
      <c r="I373" s="9">
        <v>1</v>
      </c>
      <c r="J373" s="9">
        <v>0.36</v>
      </c>
      <c r="K373" s="62" t="s">
        <v>44</v>
      </c>
      <c r="L373" s="63" t="str">
        <f t="shared" si="10"/>
        <v>Jul-2017</v>
      </c>
      <c r="M373" s="29">
        <f t="shared" si="11"/>
        <v>42917</v>
      </c>
    </row>
    <row r="374" spans="1:13" ht="21" x14ac:dyDescent="0.35">
      <c r="A374" s="8">
        <v>2017</v>
      </c>
      <c r="B374" s="9">
        <v>7</v>
      </c>
      <c r="C374" s="17" t="s">
        <v>42</v>
      </c>
      <c r="D374" s="64" t="s">
        <v>45</v>
      </c>
      <c r="E374" s="9">
        <v>24751.920020000001</v>
      </c>
      <c r="F374" s="9">
        <v>253</v>
      </c>
      <c r="G374" s="9">
        <v>97.83</v>
      </c>
      <c r="H374" s="9">
        <v>4.1175290000000002</v>
      </c>
      <c r="I374" s="9">
        <v>0</v>
      </c>
      <c r="J374" s="9">
        <v>0</v>
      </c>
      <c r="K374" s="62" t="s">
        <v>44</v>
      </c>
      <c r="L374" s="63" t="str">
        <f t="shared" si="10"/>
        <v>Jul-2017</v>
      </c>
      <c r="M374" s="29">
        <f t="shared" si="11"/>
        <v>42917</v>
      </c>
    </row>
    <row r="375" spans="1:13" ht="21" x14ac:dyDescent="0.35">
      <c r="A375" s="8">
        <v>2017</v>
      </c>
      <c r="B375" s="9">
        <v>7</v>
      </c>
      <c r="C375" s="17" t="s">
        <v>47</v>
      </c>
      <c r="D375" s="64" t="s">
        <v>49</v>
      </c>
      <c r="E375" s="9">
        <v>24511.72003</v>
      </c>
      <c r="F375" s="9">
        <v>201</v>
      </c>
      <c r="G375" s="9">
        <v>121.95</v>
      </c>
      <c r="H375" s="9">
        <v>4.4472360000000002</v>
      </c>
      <c r="I375" s="9">
        <v>0</v>
      </c>
      <c r="J375" s="9">
        <v>0</v>
      </c>
      <c r="K375" s="62" t="s">
        <v>44</v>
      </c>
      <c r="L375" s="63" t="str">
        <f t="shared" si="10"/>
        <v>Jul-2017</v>
      </c>
      <c r="M375" s="29">
        <f t="shared" si="11"/>
        <v>42917</v>
      </c>
    </row>
    <row r="376" spans="1:13" ht="21" x14ac:dyDescent="0.35">
      <c r="A376" s="8">
        <v>2017</v>
      </c>
      <c r="B376" s="9">
        <v>7</v>
      </c>
      <c r="C376" s="17" t="s">
        <v>125</v>
      </c>
      <c r="D376" s="64" t="s">
        <v>61</v>
      </c>
      <c r="E376" s="9">
        <v>20874.300050000002</v>
      </c>
      <c r="F376" s="9">
        <v>225</v>
      </c>
      <c r="G376" s="9">
        <v>92.77</v>
      </c>
      <c r="H376" s="9">
        <v>4.3094169999999998</v>
      </c>
      <c r="I376" s="9">
        <v>1</v>
      </c>
      <c r="J376" s="9">
        <v>0.44</v>
      </c>
      <c r="K376" s="62" t="s">
        <v>44</v>
      </c>
      <c r="L376" s="63" t="str">
        <f t="shared" si="10"/>
        <v>Jul-2017</v>
      </c>
      <c r="M376" s="29">
        <f t="shared" si="11"/>
        <v>42917</v>
      </c>
    </row>
    <row r="377" spans="1:13" ht="21" x14ac:dyDescent="0.35">
      <c r="A377" s="8">
        <v>2017</v>
      </c>
      <c r="B377" s="9">
        <v>7</v>
      </c>
      <c r="C377" s="17" t="s">
        <v>76</v>
      </c>
      <c r="D377" s="64" t="s">
        <v>57</v>
      </c>
      <c r="E377" s="9">
        <v>20067.050019999999</v>
      </c>
      <c r="F377" s="9">
        <v>159</v>
      </c>
      <c r="G377" s="9">
        <v>126.21</v>
      </c>
      <c r="H377" s="9">
        <v>4.2675150000000004</v>
      </c>
      <c r="I377" s="9">
        <v>1</v>
      </c>
      <c r="J377" s="9">
        <v>0.63</v>
      </c>
      <c r="K377" s="62" t="s">
        <v>44</v>
      </c>
      <c r="L377" s="63" t="str">
        <f t="shared" si="10"/>
        <v>Jul-2017</v>
      </c>
      <c r="M377" s="29">
        <f t="shared" si="11"/>
        <v>42917</v>
      </c>
    </row>
    <row r="378" spans="1:13" ht="21" x14ac:dyDescent="0.35">
      <c r="A378" s="8">
        <v>2017</v>
      </c>
      <c r="B378" s="9">
        <v>7</v>
      </c>
      <c r="C378" s="17" t="s">
        <v>77</v>
      </c>
      <c r="D378" s="64" t="s">
        <v>60</v>
      </c>
      <c r="E378" s="9">
        <v>16892.61016</v>
      </c>
      <c r="F378" s="9">
        <v>97</v>
      </c>
      <c r="G378" s="9">
        <v>174.15</v>
      </c>
      <c r="H378" s="9">
        <v>4.0154629999999996</v>
      </c>
      <c r="I378" s="9">
        <v>0</v>
      </c>
      <c r="J378" s="9">
        <v>0</v>
      </c>
      <c r="K378" s="62" t="s">
        <v>44</v>
      </c>
      <c r="L378" s="63" t="str">
        <f t="shared" si="10"/>
        <v>Jul-2017</v>
      </c>
      <c r="M378" s="29">
        <f t="shared" si="11"/>
        <v>42917</v>
      </c>
    </row>
    <row r="379" spans="1:13" ht="21" x14ac:dyDescent="0.35">
      <c r="A379" s="8">
        <v>2017</v>
      </c>
      <c r="B379" s="9">
        <v>7</v>
      </c>
      <c r="C379" s="17" t="s">
        <v>94</v>
      </c>
      <c r="D379" s="64" t="s">
        <v>55</v>
      </c>
      <c r="E379" s="9">
        <v>15941.11001</v>
      </c>
      <c r="F379" s="9">
        <v>124</v>
      </c>
      <c r="G379" s="9">
        <v>128.56</v>
      </c>
      <c r="H379" s="9">
        <v>4.4112900000000002</v>
      </c>
      <c r="I379" s="9">
        <v>1</v>
      </c>
      <c r="J379" s="9">
        <v>0.81</v>
      </c>
      <c r="K379" s="62" t="s">
        <v>44</v>
      </c>
      <c r="L379" s="63" t="str">
        <f t="shared" si="10"/>
        <v>Jul-2017</v>
      </c>
      <c r="M379" s="29">
        <f t="shared" si="11"/>
        <v>42917</v>
      </c>
    </row>
    <row r="380" spans="1:13" ht="21" x14ac:dyDescent="0.35">
      <c r="A380" s="8">
        <v>2017</v>
      </c>
      <c r="B380" s="9">
        <v>7</v>
      </c>
      <c r="C380" s="17" t="s">
        <v>103</v>
      </c>
      <c r="D380" s="64" t="s">
        <v>53</v>
      </c>
      <c r="E380" s="9">
        <v>14119.74006</v>
      </c>
      <c r="F380" s="9">
        <v>106</v>
      </c>
      <c r="G380" s="9">
        <v>133.21</v>
      </c>
      <c r="H380" s="9">
        <v>4.1367919999999998</v>
      </c>
      <c r="I380" s="9">
        <v>1</v>
      </c>
      <c r="J380" s="9">
        <v>0.94</v>
      </c>
      <c r="K380" s="62" t="s">
        <v>44</v>
      </c>
      <c r="L380" s="63" t="str">
        <f t="shared" si="10"/>
        <v>Jul-2017</v>
      </c>
      <c r="M380" s="29">
        <f t="shared" si="11"/>
        <v>42917</v>
      </c>
    </row>
    <row r="381" spans="1:13" ht="21" x14ac:dyDescent="0.35">
      <c r="A381" s="8">
        <v>2017</v>
      </c>
      <c r="B381" s="9">
        <v>7</v>
      </c>
      <c r="C381" s="17" t="s">
        <v>109</v>
      </c>
      <c r="D381" s="64" t="s">
        <v>48</v>
      </c>
      <c r="E381" s="9">
        <v>12910.020049999999</v>
      </c>
      <c r="F381" s="9">
        <v>119</v>
      </c>
      <c r="G381" s="9">
        <v>108.49</v>
      </c>
      <c r="H381" s="9">
        <v>4.1932770000000001</v>
      </c>
      <c r="I381" s="9">
        <v>1</v>
      </c>
      <c r="J381" s="9">
        <v>0.84</v>
      </c>
      <c r="K381" s="62" t="s">
        <v>44</v>
      </c>
      <c r="L381" s="63" t="str">
        <f t="shared" si="10"/>
        <v>Jul-2017</v>
      </c>
      <c r="M381" s="29">
        <f t="shared" si="11"/>
        <v>42917</v>
      </c>
    </row>
    <row r="382" spans="1:13" ht="21" x14ac:dyDescent="0.35">
      <c r="A382" s="8">
        <v>2017</v>
      </c>
      <c r="B382" s="9">
        <v>7</v>
      </c>
      <c r="C382" s="17" t="s">
        <v>115</v>
      </c>
      <c r="D382" s="64" t="s">
        <v>46</v>
      </c>
      <c r="E382" s="9">
        <v>9064.8600409999999</v>
      </c>
      <c r="F382" s="9">
        <v>136</v>
      </c>
      <c r="G382" s="9">
        <v>66.650000000000006</v>
      </c>
      <c r="H382" s="9">
        <v>4.2205880000000002</v>
      </c>
      <c r="I382" s="9">
        <v>0</v>
      </c>
      <c r="J382" s="9">
        <v>0</v>
      </c>
      <c r="K382" s="62" t="s">
        <v>44</v>
      </c>
      <c r="L382" s="63" t="str">
        <f t="shared" si="10"/>
        <v>Jul-2017</v>
      </c>
      <c r="M382" s="29">
        <f t="shared" si="11"/>
        <v>42917</v>
      </c>
    </row>
    <row r="383" spans="1:13" ht="21" x14ac:dyDescent="0.35">
      <c r="A383" s="8">
        <v>2017</v>
      </c>
      <c r="B383" s="9">
        <v>7</v>
      </c>
      <c r="C383" s="17" t="s">
        <v>118</v>
      </c>
      <c r="D383" s="64" t="s">
        <v>84</v>
      </c>
      <c r="E383" s="9">
        <v>8411.5899809999992</v>
      </c>
      <c r="F383" s="9">
        <v>28</v>
      </c>
      <c r="G383" s="9">
        <v>300.41000000000003</v>
      </c>
      <c r="H383" s="9">
        <v>4.1481479999999999</v>
      </c>
      <c r="I383" s="9">
        <v>2</v>
      </c>
      <c r="J383" s="9">
        <v>7.14</v>
      </c>
      <c r="K383" s="62" t="s">
        <v>44</v>
      </c>
      <c r="L383" s="63" t="str">
        <f t="shared" si="10"/>
        <v>Jul-2017</v>
      </c>
      <c r="M383" s="29">
        <f t="shared" si="11"/>
        <v>42917</v>
      </c>
    </row>
    <row r="384" spans="1:13" ht="21" x14ac:dyDescent="0.35">
      <c r="A384" s="8">
        <v>2017</v>
      </c>
      <c r="B384" s="9">
        <v>7</v>
      </c>
      <c r="C384" s="17" t="s">
        <v>120</v>
      </c>
      <c r="D384" s="64" t="s">
        <v>83</v>
      </c>
      <c r="E384" s="9">
        <v>8357.6100439999991</v>
      </c>
      <c r="F384" s="9">
        <v>73</v>
      </c>
      <c r="G384" s="9">
        <v>114.49</v>
      </c>
      <c r="H384" s="9">
        <v>4.3472220000000004</v>
      </c>
      <c r="I384" s="9">
        <v>0</v>
      </c>
      <c r="J384" s="9">
        <v>0</v>
      </c>
      <c r="K384" s="62" t="s">
        <v>44</v>
      </c>
      <c r="L384" s="63" t="str">
        <f t="shared" si="10"/>
        <v>Jul-2017</v>
      </c>
      <c r="M384" s="29">
        <f t="shared" si="11"/>
        <v>42917</v>
      </c>
    </row>
    <row r="385" spans="1:13" ht="21" x14ac:dyDescent="0.35">
      <c r="A385" s="8">
        <v>2017</v>
      </c>
      <c r="B385" s="9">
        <v>7</v>
      </c>
      <c r="C385" s="17" t="s">
        <v>124</v>
      </c>
      <c r="D385" s="64" t="s">
        <v>58</v>
      </c>
      <c r="E385" s="9">
        <v>7346.8400069999998</v>
      </c>
      <c r="F385" s="9">
        <v>87</v>
      </c>
      <c r="G385" s="9">
        <v>84.45</v>
      </c>
      <c r="H385" s="9">
        <v>4.2023799999999998</v>
      </c>
      <c r="I385" s="9">
        <v>0</v>
      </c>
      <c r="J385" s="9">
        <v>0</v>
      </c>
      <c r="K385" s="62" t="s">
        <v>44</v>
      </c>
      <c r="L385" s="63" t="str">
        <f t="shared" si="10"/>
        <v>Jul-2017</v>
      </c>
      <c r="M385" s="29">
        <f t="shared" si="11"/>
        <v>42917</v>
      </c>
    </row>
    <row r="386" spans="1:13" ht="21" x14ac:dyDescent="0.35">
      <c r="A386" s="8">
        <v>2017</v>
      </c>
      <c r="B386" s="9">
        <v>7</v>
      </c>
      <c r="C386" s="17" t="s">
        <v>42</v>
      </c>
      <c r="D386" s="64" t="s">
        <v>81</v>
      </c>
      <c r="E386" s="9">
        <v>7091.7500060000002</v>
      </c>
      <c r="F386" s="9">
        <v>75</v>
      </c>
      <c r="G386" s="9">
        <v>94.56</v>
      </c>
      <c r="H386" s="9">
        <v>4.1133329999999999</v>
      </c>
      <c r="I386" s="9">
        <v>2</v>
      </c>
      <c r="J386" s="9">
        <v>2.67</v>
      </c>
      <c r="K386" s="62" t="s">
        <v>44</v>
      </c>
      <c r="L386" s="63" t="str">
        <f t="shared" ref="L386:L449" si="12">TEXT(DATE(A386,B386,1),"mmm-yyyy")</f>
        <v>Jul-2017</v>
      </c>
      <c r="M386" s="29">
        <f t="shared" ref="M386:M449" si="13">DATE(A386,B386,1)</f>
        <v>42917</v>
      </c>
    </row>
    <row r="387" spans="1:13" ht="21" x14ac:dyDescent="0.35">
      <c r="A387" s="8">
        <v>2017</v>
      </c>
      <c r="B387" s="9">
        <v>7</v>
      </c>
      <c r="C387" s="17" t="s">
        <v>47</v>
      </c>
      <c r="D387" s="64" t="s">
        <v>64</v>
      </c>
      <c r="E387" s="9">
        <v>6605.8699589999997</v>
      </c>
      <c r="F387" s="9">
        <v>71</v>
      </c>
      <c r="G387" s="9">
        <v>93.04</v>
      </c>
      <c r="H387" s="9">
        <v>3.9859149999999999</v>
      </c>
      <c r="I387" s="9">
        <v>0</v>
      </c>
      <c r="J387" s="9">
        <v>0</v>
      </c>
      <c r="K387" s="62" t="s">
        <v>44</v>
      </c>
      <c r="L387" s="63" t="str">
        <f t="shared" si="12"/>
        <v>Jul-2017</v>
      </c>
      <c r="M387" s="29">
        <f t="shared" si="13"/>
        <v>42917</v>
      </c>
    </row>
    <row r="388" spans="1:13" ht="21" x14ac:dyDescent="0.35">
      <c r="A388" s="8">
        <v>2017</v>
      </c>
      <c r="B388" s="9">
        <v>7</v>
      </c>
      <c r="C388" s="17" t="s">
        <v>125</v>
      </c>
      <c r="D388" s="64" t="s">
        <v>50</v>
      </c>
      <c r="E388" s="9">
        <v>5680.1600040000003</v>
      </c>
      <c r="F388" s="9">
        <v>46</v>
      </c>
      <c r="G388" s="9">
        <v>123.48</v>
      </c>
      <c r="H388" s="9">
        <v>4.2391300000000003</v>
      </c>
      <c r="I388" s="9">
        <v>0</v>
      </c>
      <c r="J388" s="9">
        <v>0</v>
      </c>
      <c r="K388" s="62" t="s">
        <v>44</v>
      </c>
      <c r="L388" s="63" t="str">
        <f t="shared" si="12"/>
        <v>Jul-2017</v>
      </c>
      <c r="M388" s="29">
        <f t="shared" si="13"/>
        <v>42917</v>
      </c>
    </row>
    <row r="389" spans="1:13" ht="21" x14ac:dyDescent="0.35">
      <c r="A389" s="8">
        <v>2017</v>
      </c>
      <c r="B389" s="9">
        <v>7</v>
      </c>
      <c r="C389" s="17" t="s">
        <v>76</v>
      </c>
      <c r="D389" s="64" t="s">
        <v>65</v>
      </c>
      <c r="E389" s="9">
        <v>5193.1000610000001</v>
      </c>
      <c r="F389" s="9">
        <v>82</v>
      </c>
      <c r="G389" s="9">
        <v>63.33</v>
      </c>
      <c r="H389" s="9">
        <v>4.2073169999999998</v>
      </c>
      <c r="I389" s="9">
        <v>2</v>
      </c>
      <c r="J389" s="9">
        <v>2.44</v>
      </c>
      <c r="K389" s="62" t="s">
        <v>44</v>
      </c>
      <c r="L389" s="63" t="str">
        <f t="shared" si="12"/>
        <v>Jul-2017</v>
      </c>
      <c r="M389" s="29">
        <f t="shared" si="13"/>
        <v>42917</v>
      </c>
    </row>
    <row r="390" spans="1:13" ht="21" x14ac:dyDescent="0.35">
      <c r="A390" s="8">
        <v>2017</v>
      </c>
      <c r="B390" s="9">
        <v>7</v>
      </c>
      <c r="C390" s="17" t="s">
        <v>77</v>
      </c>
      <c r="D390" s="64" t="s">
        <v>80</v>
      </c>
      <c r="E390" s="9">
        <v>4621.3599640000002</v>
      </c>
      <c r="F390" s="9">
        <v>33</v>
      </c>
      <c r="G390" s="9">
        <v>140.04</v>
      </c>
      <c r="H390" s="9">
        <v>3.6666660000000002</v>
      </c>
      <c r="I390" s="9">
        <v>1</v>
      </c>
      <c r="J390" s="9">
        <v>3.03</v>
      </c>
      <c r="K390" s="62" t="s">
        <v>44</v>
      </c>
      <c r="L390" s="63" t="str">
        <f t="shared" si="12"/>
        <v>Jul-2017</v>
      </c>
      <c r="M390" s="29">
        <f t="shared" si="13"/>
        <v>42917</v>
      </c>
    </row>
    <row r="391" spans="1:13" ht="21" x14ac:dyDescent="0.35">
      <c r="A391" s="8">
        <v>2017</v>
      </c>
      <c r="B391" s="9">
        <v>7</v>
      </c>
      <c r="C391" s="17" t="s">
        <v>94</v>
      </c>
      <c r="D391" s="64" t="s">
        <v>99</v>
      </c>
      <c r="E391" s="9">
        <v>4563.850058</v>
      </c>
      <c r="F391" s="9">
        <v>36</v>
      </c>
      <c r="G391" s="9">
        <v>126.77</v>
      </c>
      <c r="H391" s="9">
        <v>3.75</v>
      </c>
      <c r="I391" s="9">
        <v>0</v>
      </c>
      <c r="J391" s="9">
        <v>0</v>
      </c>
      <c r="K391" s="62" t="s">
        <v>44</v>
      </c>
      <c r="L391" s="63" t="str">
        <f t="shared" si="12"/>
        <v>Jul-2017</v>
      </c>
      <c r="M391" s="29">
        <f t="shared" si="13"/>
        <v>42917</v>
      </c>
    </row>
    <row r="392" spans="1:13" ht="21" x14ac:dyDescent="0.35">
      <c r="A392" s="8">
        <v>2017</v>
      </c>
      <c r="B392" s="9">
        <v>7</v>
      </c>
      <c r="C392" s="17" t="s">
        <v>103</v>
      </c>
      <c r="D392" s="64" t="s">
        <v>82</v>
      </c>
      <c r="E392" s="9">
        <v>4395.119995</v>
      </c>
      <c r="F392" s="9">
        <v>27</v>
      </c>
      <c r="G392" s="9">
        <v>162.78</v>
      </c>
      <c r="H392" s="9">
        <v>4.1481479999999999</v>
      </c>
      <c r="I392" s="9">
        <v>0</v>
      </c>
      <c r="J392" s="9">
        <v>0</v>
      </c>
      <c r="K392" s="62" t="s">
        <v>44</v>
      </c>
      <c r="L392" s="63" t="str">
        <f t="shared" si="12"/>
        <v>Jul-2017</v>
      </c>
      <c r="M392" s="29">
        <f t="shared" si="13"/>
        <v>42917</v>
      </c>
    </row>
    <row r="393" spans="1:13" ht="21" x14ac:dyDescent="0.35">
      <c r="A393" s="8">
        <v>2017</v>
      </c>
      <c r="B393" s="9">
        <v>7</v>
      </c>
      <c r="C393" s="17" t="s">
        <v>109</v>
      </c>
      <c r="D393" s="64" t="s">
        <v>96</v>
      </c>
      <c r="E393" s="9">
        <v>3671.989994</v>
      </c>
      <c r="F393" s="9">
        <v>37</v>
      </c>
      <c r="G393" s="9">
        <v>99.24</v>
      </c>
      <c r="H393" s="9">
        <v>4.1621620000000004</v>
      </c>
      <c r="I393" s="9">
        <v>0</v>
      </c>
      <c r="J393" s="9">
        <v>0</v>
      </c>
      <c r="K393" s="62" t="s">
        <v>44</v>
      </c>
      <c r="L393" s="63" t="str">
        <f t="shared" si="12"/>
        <v>Jul-2017</v>
      </c>
      <c r="M393" s="29">
        <f t="shared" si="13"/>
        <v>42917</v>
      </c>
    </row>
    <row r="394" spans="1:13" ht="21" x14ac:dyDescent="0.35">
      <c r="A394" s="8">
        <v>2017</v>
      </c>
      <c r="B394" s="9">
        <v>7</v>
      </c>
      <c r="C394" s="17" t="s">
        <v>115</v>
      </c>
      <c r="D394" s="64" t="s">
        <v>0</v>
      </c>
      <c r="E394" s="9">
        <v>3124.6600279999998</v>
      </c>
      <c r="F394" s="9">
        <v>55</v>
      </c>
      <c r="G394" s="9">
        <v>56.81</v>
      </c>
      <c r="H394" s="9" t="s">
        <v>0</v>
      </c>
      <c r="I394" s="9" t="s">
        <v>0</v>
      </c>
      <c r="J394" s="9" t="s">
        <v>0</v>
      </c>
      <c r="K394" s="62" t="s">
        <v>44</v>
      </c>
      <c r="L394" s="63" t="str">
        <f t="shared" si="12"/>
        <v>Jul-2017</v>
      </c>
      <c r="M394" s="29">
        <f t="shared" si="13"/>
        <v>42917</v>
      </c>
    </row>
    <row r="395" spans="1:13" ht="21" x14ac:dyDescent="0.35">
      <c r="A395" s="8">
        <v>2017</v>
      </c>
      <c r="B395" s="9">
        <v>7</v>
      </c>
      <c r="C395" s="17" t="s">
        <v>118</v>
      </c>
      <c r="D395" s="64" t="s">
        <v>59</v>
      </c>
      <c r="E395" s="9">
        <v>1573.379997</v>
      </c>
      <c r="F395" s="9">
        <v>13</v>
      </c>
      <c r="G395" s="9">
        <v>121.03</v>
      </c>
      <c r="H395" s="9">
        <v>3.692307</v>
      </c>
      <c r="I395" s="9">
        <v>0</v>
      </c>
      <c r="J395" s="9">
        <v>0</v>
      </c>
      <c r="K395" s="62" t="s">
        <v>44</v>
      </c>
      <c r="L395" s="63" t="str">
        <f t="shared" si="12"/>
        <v>Jul-2017</v>
      </c>
      <c r="M395" s="29">
        <f t="shared" si="13"/>
        <v>42917</v>
      </c>
    </row>
    <row r="396" spans="1:13" ht="21" x14ac:dyDescent="0.35">
      <c r="A396" s="8">
        <v>2017</v>
      </c>
      <c r="B396" s="9">
        <v>7</v>
      </c>
      <c r="C396" s="17" t="s">
        <v>120</v>
      </c>
      <c r="D396" s="64" t="s">
        <v>74</v>
      </c>
      <c r="E396" s="9">
        <v>1423.009998</v>
      </c>
      <c r="F396" s="9">
        <v>19</v>
      </c>
      <c r="G396" s="9">
        <v>74.900000000000006</v>
      </c>
      <c r="H396" s="9">
        <v>4.2631569999999996</v>
      </c>
      <c r="I396" s="9">
        <v>1</v>
      </c>
      <c r="J396" s="9">
        <v>5.26</v>
      </c>
      <c r="K396" s="62" t="s">
        <v>44</v>
      </c>
      <c r="L396" s="63" t="str">
        <f t="shared" si="12"/>
        <v>Jul-2017</v>
      </c>
      <c r="M396" s="29">
        <f t="shared" si="13"/>
        <v>42917</v>
      </c>
    </row>
    <row r="397" spans="1:13" ht="21" x14ac:dyDescent="0.35">
      <c r="A397" s="8">
        <v>2017</v>
      </c>
      <c r="B397" s="9">
        <v>7</v>
      </c>
      <c r="C397" s="17" t="s">
        <v>124</v>
      </c>
      <c r="D397" s="64" t="s">
        <v>54</v>
      </c>
      <c r="E397" s="9">
        <v>1396.0999890000001</v>
      </c>
      <c r="F397" s="9">
        <v>5</v>
      </c>
      <c r="G397" s="9">
        <v>279.22000000000003</v>
      </c>
      <c r="H397" s="9">
        <v>3.4</v>
      </c>
      <c r="I397" s="9">
        <v>0</v>
      </c>
      <c r="J397" s="9">
        <v>0</v>
      </c>
      <c r="K397" s="62" t="s">
        <v>44</v>
      </c>
      <c r="L397" s="63" t="str">
        <f t="shared" si="12"/>
        <v>Jul-2017</v>
      </c>
      <c r="M397" s="29">
        <f t="shared" si="13"/>
        <v>42917</v>
      </c>
    </row>
    <row r="398" spans="1:13" ht="21" x14ac:dyDescent="0.35">
      <c r="A398" s="8">
        <v>2017</v>
      </c>
      <c r="B398" s="9">
        <v>7</v>
      </c>
      <c r="C398" s="17" t="s">
        <v>42</v>
      </c>
      <c r="D398" s="64" t="s">
        <v>88</v>
      </c>
      <c r="E398" s="9">
        <v>1316.499992</v>
      </c>
      <c r="F398" s="9">
        <v>9</v>
      </c>
      <c r="G398" s="9">
        <v>146.28</v>
      </c>
      <c r="H398" s="9">
        <v>4.3333329999999997</v>
      </c>
      <c r="I398" s="9">
        <v>0</v>
      </c>
      <c r="J398" s="9">
        <v>0</v>
      </c>
      <c r="K398" s="62" t="s">
        <v>44</v>
      </c>
      <c r="L398" s="63" t="str">
        <f t="shared" si="12"/>
        <v>Jul-2017</v>
      </c>
      <c r="M398" s="29">
        <f t="shared" si="13"/>
        <v>42917</v>
      </c>
    </row>
    <row r="399" spans="1:13" ht="21" x14ac:dyDescent="0.35">
      <c r="A399" s="8">
        <v>2017</v>
      </c>
      <c r="B399" s="9">
        <v>7</v>
      </c>
      <c r="C399" s="17" t="s">
        <v>47</v>
      </c>
      <c r="D399" s="64" t="s">
        <v>71</v>
      </c>
      <c r="E399" s="9">
        <v>1292.399977</v>
      </c>
      <c r="F399" s="9">
        <v>12</v>
      </c>
      <c r="G399" s="9">
        <v>107.7</v>
      </c>
      <c r="H399" s="9">
        <v>5</v>
      </c>
      <c r="I399" s="9">
        <v>0</v>
      </c>
      <c r="J399" s="9">
        <v>0</v>
      </c>
      <c r="K399" s="62" t="s">
        <v>44</v>
      </c>
      <c r="L399" s="63" t="str">
        <f t="shared" si="12"/>
        <v>Jul-2017</v>
      </c>
      <c r="M399" s="29">
        <f t="shared" si="13"/>
        <v>42917</v>
      </c>
    </row>
    <row r="400" spans="1:13" ht="21" x14ac:dyDescent="0.35">
      <c r="A400" s="8">
        <v>2017</v>
      </c>
      <c r="B400" s="9">
        <v>7</v>
      </c>
      <c r="C400" s="17" t="s">
        <v>125</v>
      </c>
      <c r="D400" s="64" t="s">
        <v>89</v>
      </c>
      <c r="E400" s="9">
        <v>1206.989998</v>
      </c>
      <c r="F400" s="9">
        <v>5</v>
      </c>
      <c r="G400" s="9">
        <v>241.4</v>
      </c>
      <c r="H400" s="9">
        <v>3.6</v>
      </c>
      <c r="I400" s="9">
        <v>0</v>
      </c>
      <c r="J400" s="9">
        <v>0</v>
      </c>
      <c r="K400" s="62" t="s">
        <v>44</v>
      </c>
      <c r="L400" s="63" t="str">
        <f t="shared" si="12"/>
        <v>Jul-2017</v>
      </c>
      <c r="M400" s="29">
        <f t="shared" si="13"/>
        <v>42917</v>
      </c>
    </row>
    <row r="401" spans="1:13" ht="21" x14ac:dyDescent="0.35">
      <c r="A401" s="8">
        <v>2017</v>
      </c>
      <c r="B401" s="9">
        <v>7</v>
      </c>
      <c r="C401" s="17" t="s">
        <v>76</v>
      </c>
      <c r="D401" s="64" t="s">
        <v>91</v>
      </c>
      <c r="E401" s="9">
        <v>1180</v>
      </c>
      <c r="F401" s="9">
        <v>1</v>
      </c>
      <c r="G401" s="9">
        <v>1180</v>
      </c>
      <c r="H401" s="9">
        <v>5</v>
      </c>
      <c r="I401" s="9">
        <v>0</v>
      </c>
      <c r="J401" s="9">
        <v>0</v>
      </c>
      <c r="K401" s="62" t="s">
        <v>44</v>
      </c>
      <c r="L401" s="63" t="str">
        <f t="shared" si="12"/>
        <v>Jul-2017</v>
      </c>
      <c r="M401" s="29">
        <f t="shared" si="13"/>
        <v>42917</v>
      </c>
    </row>
    <row r="402" spans="1:13" ht="21" x14ac:dyDescent="0.35">
      <c r="A402" s="8">
        <v>2017</v>
      </c>
      <c r="B402" s="9">
        <v>7</v>
      </c>
      <c r="C402" s="17" t="s">
        <v>77</v>
      </c>
      <c r="D402" s="64" t="s">
        <v>79</v>
      </c>
      <c r="E402" s="9">
        <v>1033.989998</v>
      </c>
      <c r="F402" s="9">
        <v>7</v>
      </c>
      <c r="G402" s="9">
        <v>147.71</v>
      </c>
      <c r="H402" s="9">
        <v>3.4285709999999998</v>
      </c>
      <c r="I402" s="9">
        <v>0</v>
      </c>
      <c r="J402" s="9">
        <v>0</v>
      </c>
      <c r="K402" s="62" t="s">
        <v>44</v>
      </c>
      <c r="L402" s="63" t="str">
        <f t="shared" si="12"/>
        <v>Jul-2017</v>
      </c>
      <c r="M402" s="29">
        <f t="shared" si="13"/>
        <v>42917</v>
      </c>
    </row>
    <row r="403" spans="1:13" ht="21" x14ac:dyDescent="0.35">
      <c r="A403" s="8">
        <v>2017</v>
      </c>
      <c r="B403" s="9">
        <v>7</v>
      </c>
      <c r="C403" s="17" t="s">
        <v>94</v>
      </c>
      <c r="D403" s="64" t="s">
        <v>69</v>
      </c>
      <c r="E403" s="9">
        <v>771.68999859999997</v>
      </c>
      <c r="F403" s="9">
        <v>7</v>
      </c>
      <c r="G403" s="9">
        <v>110.24</v>
      </c>
      <c r="H403" s="9">
        <v>4.1666660000000002</v>
      </c>
      <c r="I403" s="9">
        <v>0</v>
      </c>
      <c r="J403" s="9">
        <v>0</v>
      </c>
      <c r="K403" s="62" t="s">
        <v>44</v>
      </c>
      <c r="L403" s="63" t="str">
        <f t="shared" si="12"/>
        <v>Jul-2017</v>
      </c>
      <c r="M403" s="29">
        <f t="shared" si="13"/>
        <v>42917</v>
      </c>
    </row>
    <row r="404" spans="1:13" ht="21" x14ac:dyDescent="0.35">
      <c r="A404" s="8">
        <v>2017</v>
      </c>
      <c r="B404" s="9">
        <v>7</v>
      </c>
      <c r="C404" s="17" t="s">
        <v>103</v>
      </c>
      <c r="D404" s="64" t="s">
        <v>92</v>
      </c>
      <c r="E404" s="9">
        <v>749.69999889999997</v>
      </c>
      <c r="F404" s="9">
        <v>4</v>
      </c>
      <c r="G404" s="9">
        <v>187.42</v>
      </c>
      <c r="H404" s="9">
        <v>3.3333330000000001</v>
      </c>
      <c r="I404" s="9">
        <v>0</v>
      </c>
      <c r="J404" s="9">
        <v>0</v>
      </c>
      <c r="K404" s="62" t="s">
        <v>44</v>
      </c>
      <c r="L404" s="63" t="str">
        <f t="shared" si="12"/>
        <v>Jul-2017</v>
      </c>
      <c r="M404" s="29">
        <f t="shared" si="13"/>
        <v>42917</v>
      </c>
    </row>
    <row r="405" spans="1:13" ht="21" x14ac:dyDescent="0.35">
      <c r="A405" s="8">
        <v>2017</v>
      </c>
      <c r="B405" s="9">
        <v>7</v>
      </c>
      <c r="C405" s="17" t="s">
        <v>109</v>
      </c>
      <c r="D405" s="64" t="s">
        <v>75</v>
      </c>
      <c r="E405" s="9">
        <v>719.98999979999996</v>
      </c>
      <c r="F405" s="9">
        <v>8</v>
      </c>
      <c r="G405" s="9">
        <v>90</v>
      </c>
      <c r="H405" s="9">
        <v>4.375</v>
      </c>
      <c r="I405" s="9">
        <v>0</v>
      </c>
      <c r="J405" s="9">
        <v>0</v>
      </c>
      <c r="K405" s="62" t="s">
        <v>44</v>
      </c>
      <c r="L405" s="63" t="str">
        <f t="shared" si="12"/>
        <v>Jul-2017</v>
      </c>
      <c r="M405" s="29">
        <f t="shared" si="13"/>
        <v>42917</v>
      </c>
    </row>
    <row r="406" spans="1:13" ht="21" x14ac:dyDescent="0.35">
      <c r="A406" s="8">
        <v>2017</v>
      </c>
      <c r="B406" s="9">
        <v>7</v>
      </c>
      <c r="C406" s="17" t="s">
        <v>115</v>
      </c>
      <c r="D406" s="64" t="s">
        <v>72</v>
      </c>
      <c r="E406" s="9">
        <v>584.15999790000001</v>
      </c>
      <c r="F406" s="9">
        <v>7</v>
      </c>
      <c r="G406" s="9">
        <v>83.45</v>
      </c>
      <c r="H406" s="9">
        <v>5</v>
      </c>
      <c r="I406" s="9">
        <v>0</v>
      </c>
      <c r="J406" s="9">
        <v>0</v>
      </c>
      <c r="K406" s="62" t="s">
        <v>44</v>
      </c>
      <c r="L406" s="63" t="str">
        <f t="shared" si="12"/>
        <v>Jul-2017</v>
      </c>
      <c r="M406" s="29">
        <f t="shared" si="13"/>
        <v>42917</v>
      </c>
    </row>
    <row r="407" spans="1:13" ht="21" x14ac:dyDescent="0.35">
      <c r="A407" s="8">
        <v>2017</v>
      </c>
      <c r="B407" s="9">
        <v>7</v>
      </c>
      <c r="C407" s="17" t="s">
        <v>118</v>
      </c>
      <c r="D407" s="64" t="s">
        <v>85</v>
      </c>
      <c r="E407" s="9">
        <v>549.43999099999996</v>
      </c>
      <c r="F407" s="9">
        <v>5</v>
      </c>
      <c r="G407" s="9">
        <v>109.89</v>
      </c>
      <c r="H407" s="9">
        <v>4.5999999999999996</v>
      </c>
      <c r="I407" s="9">
        <v>0</v>
      </c>
      <c r="J407" s="9">
        <v>0</v>
      </c>
      <c r="K407" s="62" t="s">
        <v>44</v>
      </c>
      <c r="L407" s="63" t="str">
        <f t="shared" si="12"/>
        <v>Jul-2017</v>
      </c>
      <c r="M407" s="29">
        <f t="shared" si="13"/>
        <v>42917</v>
      </c>
    </row>
    <row r="408" spans="1:13" ht="21" x14ac:dyDescent="0.35">
      <c r="A408" s="8">
        <v>2017</v>
      </c>
      <c r="B408" s="9">
        <v>7</v>
      </c>
      <c r="C408" s="17" t="s">
        <v>120</v>
      </c>
      <c r="D408" s="64" t="s">
        <v>107</v>
      </c>
      <c r="E408" s="9">
        <v>530.18999859999997</v>
      </c>
      <c r="F408" s="9">
        <v>5</v>
      </c>
      <c r="G408" s="9">
        <v>106.04</v>
      </c>
      <c r="H408" s="9">
        <v>4.75</v>
      </c>
      <c r="I408" s="9">
        <v>0</v>
      </c>
      <c r="J408" s="9">
        <v>0</v>
      </c>
      <c r="K408" s="62" t="s">
        <v>44</v>
      </c>
      <c r="L408" s="63" t="str">
        <f t="shared" si="12"/>
        <v>Jul-2017</v>
      </c>
      <c r="M408" s="29">
        <f t="shared" si="13"/>
        <v>42917</v>
      </c>
    </row>
    <row r="409" spans="1:13" ht="21" x14ac:dyDescent="0.35">
      <c r="A409" s="8">
        <v>2017</v>
      </c>
      <c r="B409" s="9">
        <v>7</v>
      </c>
      <c r="C409" s="17" t="s">
        <v>124</v>
      </c>
      <c r="D409" s="64" t="s">
        <v>68</v>
      </c>
      <c r="E409" s="9">
        <v>528</v>
      </c>
      <c r="F409" s="9">
        <v>2</v>
      </c>
      <c r="G409" s="9">
        <v>264</v>
      </c>
      <c r="H409" s="9">
        <v>5</v>
      </c>
      <c r="I409" s="9">
        <v>0</v>
      </c>
      <c r="J409" s="9">
        <v>0</v>
      </c>
      <c r="K409" s="62" t="s">
        <v>44</v>
      </c>
      <c r="L409" s="63" t="str">
        <f t="shared" si="12"/>
        <v>Jul-2017</v>
      </c>
      <c r="M409" s="29">
        <f t="shared" si="13"/>
        <v>42917</v>
      </c>
    </row>
    <row r="410" spans="1:13" ht="21" x14ac:dyDescent="0.35">
      <c r="A410" s="8">
        <v>2017</v>
      </c>
      <c r="B410" s="9">
        <v>7</v>
      </c>
      <c r="C410" s="17" t="s">
        <v>42</v>
      </c>
      <c r="D410" s="64" t="s">
        <v>114</v>
      </c>
      <c r="E410" s="9">
        <v>469.98999789999999</v>
      </c>
      <c r="F410" s="9">
        <v>4</v>
      </c>
      <c r="G410" s="9">
        <v>117.5</v>
      </c>
      <c r="H410" s="9">
        <v>5</v>
      </c>
      <c r="I410" s="9">
        <v>0</v>
      </c>
      <c r="J410" s="9">
        <v>0</v>
      </c>
      <c r="K410" s="62" t="s">
        <v>44</v>
      </c>
      <c r="L410" s="63" t="str">
        <f t="shared" si="12"/>
        <v>Jul-2017</v>
      </c>
      <c r="M410" s="29">
        <f t="shared" si="13"/>
        <v>42917</v>
      </c>
    </row>
    <row r="411" spans="1:13" ht="21" x14ac:dyDescent="0.35">
      <c r="A411" s="8">
        <v>2017</v>
      </c>
      <c r="B411" s="9">
        <v>7</v>
      </c>
      <c r="C411" s="17" t="s">
        <v>47</v>
      </c>
      <c r="D411" s="64" t="s">
        <v>105</v>
      </c>
      <c r="E411" s="9">
        <v>386.7499924</v>
      </c>
      <c r="F411" s="9">
        <v>3</v>
      </c>
      <c r="G411" s="9">
        <v>128.91999999999999</v>
      </c>
      <c r="H411" s="9">
        <v>4.3333329999999997</v>
      </c>
      <c r="I411" s="9">
        <v>0</v>
      </c>
      <c r="J411" s="9">
        <v>0</v>
      </c>
      <c r="K411" s="62" t="s">
        <v>44</v>
      </c>
      <c r="L411" s="63" t="str">
        <f t="shared" si="12"/>
        <v>Jul-2017</v>
      </c>
      <c r="M411" s="29">
        <f t="shared" si="13"/>
        <v>42917</v>
      </c>
    </row>
    <row r="412" spans="1:13" ht="21" x14ac:dyDescent="0.35">
      <c r="A412" s="8">
        <v>2017</v>
      </c>
      <c r="B412" s="9">
        <v>7</v>
      </c>
      <c r="C412" s="17" t="s">
        <v>125</v>
      </c>
      <c r="D412" s="64" t="s">
        <v>121</v>
      </c>
      <c r="E412" s="9">
        <v>360</v>
      </c>
      <c r="F412" s="9">
        <v>1</v>
      </c>
      <c r="G412" s="9">
        <v>360</v>
      </c>
      <c r="H412" s="9">
        <v>5</v>
      </c>
      <c r="I412" s="9">
        <v>0</v>
      </c>
      <c r="J412" s="9">
        <v>0</v>
      </c>
      <c r="K412" s="62" t="s">
        <v>44</v>
      </c>
      <c r="L412" s="63" t="str">
        <f t="shared" si="12"/>
        <v>Jul-2017</v>
      </c>
      <c r="M412" s="29">
        <f t="shared" si="13"/>
        <v>42917</v>
      </c>
    </row>
    <row r="413" spans="1:13" ht="21" x14ac:dyDescent="0.35">
      <c r="A413" s="8">
        <v>2017</v>
      </c>
      <c r="B413" s="9">
        <v>7</v>
      </c>
      <c r="C413" s="17" t="s">
        <v>76</v>
      </c>
      <c r="D413" s="64" t="s">
        <v>98</v>
      </c>
      <c r="E413" s="9">
        <v>347.58000559999999</v>
      </c>
      <c r="F413" s="9">
        <v>7</v>
      </c>
      <c r="G413" s="9">
        <v>49.65</v>
      </c>
      <c r="H413" s="9">
        <v>4.4285709999999998</v>
      </c>
      <c r="I413" s="9">
        <v>0</v>
      </c>
      <c r="J413" s="9">
        <v>0</v>
      </c>
      <c r="K413" s="62" t="s">
        <v>44</v>
      </c>
      <c r="L413" s="63" t="str">
        <f t="shared" si="12"/>
        <v>Jul-2017</v>
      </c>
      <c r="M413" s="29">
        <f t="shared" si="13"/>
        <v>42917</v>
      </c>
    </row>
    <row r="414" spans="1:13" ht="21" x14ac:dyDescent="0.35">
      <c r="A414" s="8">
        <v>2017</v>
      </c>
      <c r="B414" s="9">
        <v>7</v>
      </c>
      <c r="C414" s="17" t="s">
        <v>77</v>
      </c>
      <c r="D414" s="64" t="s">
        <v>93</v>
      </c>
      <c r="E414" s="9">
        <v>329</v>
      </c>
      <c r="F414" s="9">
        <v>1</v>
      </c>
      <c r="G414" s="9">
        <v>329</v>
      </c>
      <c r="H414" s="9">
        <v>3</v>
      </c>
      <c r="I414" s="9">
        <v>0</v>
      </c>
      <c r="J414" s="9">
        <v>0</v>
      </c>
      <c r="K414" s="62" t="s">
        <v>44</v>
      </c>
      <c r="L414" s="63" t="str">
        <f t="shared" si="12"/>
        <v>Jul-2017</v>
      </c>
      <c r="M414" s="29">
        <f t="shared" si="13"/>
        <v>42917</v>
      </c>
    </row>
    <row r="415" spans="1:13" ht="21" x14ac:dyDescent="0.35">
      <c r="A415" s="8">
        <v>2017</v>
      </c>
      <c r="B415" s="9">
        <v>7</v>
      </c>
      <c r="C415" s="17" t="s">
        <v>94</v>
      </c>
      <c r="D415" s="64" t="s">
        <v>73</v>
      </c>
      <c r="E415" s="9">
        <v>310.69999689999997</v>
      </c>
      <c r="F415" s="9">
        <v>4</v>
      </c>
      <c r="G415" s="9">
        <v>77.67</v>
      </c>
      <c r="H415" s="9">
        <v>4</v>
      </c>
      <c r="I415" s="9">
        <v>0</v>
      </c>
      <c r="J415" s="9">
        <v>0</v>
      </c>
      <c r="K415" s="62" t="s">
        <v>44</v>
      </c>
      <c r="L415" s="63" t="str">
        <f t="shared" si="12"/>
        <v>Jul-2017</v>
      </c>
      <c r="M415" s="29">
        <f t="shared" si="13"/>
        <v>42917</v>
      </c>
    </row>
    <row r="416" spans="1:13" ht="21" x14ac:dyDescent="0.35">
      <c r="A416" s="8">
        <v>2017</v>
      </c>
      <c r="B416" s="9">
        <v>7</v>
      </c>
      <c r="C416" s="17" t="s">
        <v>103</v>
      </c>
      <c r="D416" s="64" t="s">
        <v>87</v>
      </c>
      <c r="E416" s="9">
        <v>274.80000310000003</v>
      </c>
      <c r="F416" s="9">
        <v>3</v>
      </c>
      <c r="G416" s="9">
        <v>91.6</v>
      </c>
      <c r="H416" s="9">
        <v>4</v>
      </c>
      <c r="I416" s="9">
        <v>0</v>
      </c>
      <c r="J416" s="9">
        <v>0</v>
      </c>
      <c r="K416" s="62" t="s">
        <v>44</v>
      </c>
      <c r="L416" s="63" t="str">
        <f t="shared" si="12"/>
        <v>Jul-2017</v>
      </c>
      <c r="M416" s="29">
        <f t="shared" si="13"/>
        <v>42917</v>
      </c>
    </row>
    <row r="417" spans="1:13" ht="21" x14ac:dyDescent="0.35">
      <c r="A417" s="8">
        <v>2017</v>
      </c>
      <c r="B417" s="9">
        <v>7</v>
      </c>
      <c r="C417" s="17" t="s">
        <v>109</v>
      </c>
      <c r="D417" s="64" t="s">
        <v>104</v>
      </c>
      <c r="E417" s="9">
        <v>273.97000889999998</v>
      </c>
      <c r="F417" s="9">
        <v>2</v>
      </c>
      <c r="G417" s="9">
        <v>136.99</v>
      </c>
      <c r="H417" s="9">
        <v>4</v>
      </c>
      <c r="I417" s="9">
        <v>0</v>
      </c>
      <c r="J417" s="9">
        <v>0</v>
      </c>
      <c r="K417" s="62" t="s">
        <v>44</v>
      </c>
      <c r="L417" s="63" t="str">
        <f t="shared" si="12"/>
        <v>Jul-2017</v>
      </c>
      <c r="M417" s="29">
        <f t="shared" si="13"/>
        <v>42917</v>
      </c>
    </row>
    <row r="418" spans="1:13" ht="21" x14ac:dyDescent="0.35">
      <c r="A418" s="8">
        <v>2017</v>
      </c>
      <c r="B418" s="9">
        <v>7</v>
      </c>
      <c r="C418" s="17" t="s">
        <v>115</v>
      </c>
      <c r="D418" s="64" t="s">
        <v>67</v>
      </c>
      <c r="E418" s="9">
        <v>245.9599991</v>
      </c>
      <c r="F418" s="9">
        <v>2</v>
      </c>
      <c r="G418" s="9">
        <v>122.98</v>
      </c>
      <c r="H418" s="9">
        <v>5</v>
      </c>
      <c r="I418" s="9">
        <v>0</v>
      </c>
      <c r="J418" s="9">
        <v>0</v>
      </c>
      <c r="K418" s="62" t="s">
        <v>44</v>
      </c>
      <c r="L418" s="63" t="str">
        <f t="shared" si="12"/>
        <v>Jul-2017</v>
      </c>
      <c r="M418" s="29">
        <f t="shared" si="13"/>
        <v>42917</v>
      </c>
    </row>
    <row r="419" spans="1:13" ht="21" x14ac:dyDescent="0.35">
      <c r="A419" s="8">
        <v>2017</v>
      </c>
      <c r="B419" s="9">
        <v>7</v>
      </c>
      <c r="C419" s="17" t="s">
        <v>118</v>
      </c>
      <c r="D419" s="64" t="s">
        <v>122</v>
      </c>
      <c r="E419" s="9">
        <v>225</v>
      </c>
      <c r="F419" s="9">
        <v>4</v>
      </c>
      <c r="G419" s="9">
        <v>56.25</v>
      </c>
      <c r="H419" s="9">
        <v>4</v>
      </c>
      <c r="I419" s="9">
        <v>0</v>
      </c>
      <c r="J419" s="9">
        <v>0</v>
      </c>
      <c r="K419" s="62" t="s">
        <v>44</v>
      </c>
      <c r="L419" s="63" t="str">
        <f t="shared" si="12"/>
        <v>Jul-2017</v>
      </c>
      <c r="M419" s="29">
        <f t="shared" si="13"/>
        <v>42917</v>
      </c>
    </row>
    <row r="420" spans="1:13" ht="21" x14ac:dyDescent="0.35">
      <c r="A420" s="8">
        <v>2017</v>
      </c>
      <c r="B420" s="9">
        <v>7</v>
      </c>
      <c r="C420" s="17" t="s">
        <v>120</v>
      </c>
      <c r="D420" s="64" t="s">
        <v>63</v>
      </c>
      <c r="E420" s="9">
        <v>218.73000339999999</v>
      </c>
      <c r="F420" s="9">
        <v>8</v>
      </c>
      <c r="G420" s="9">
        <v>27.34</v>
      </c>
      <c r="H420" s="9">
        <v>3.75</v>
      </c>
      <c r="I420" s="9">
        <v>0</v>
      </c>
      <c r="J420" s="9">
        <v>0</v>
      </c>
      <c r="K420" s="62" t="s">
        <v>44</v>
      </c>
      <c r="L420" s="63" t="str">
        <f t="shared" si="12"/>
        <v>Jul-2017</v>
      </c>
      <c r="M420" s="29">
        <f t="shared" si="13"/>
        <v>42917</v>
      </c>
    </row>
    <row r="421" spans="1:13" ht="21" x14ac:dyDescent="0.35">
      <c r="A421" s="8">
        <v>2017</v>
      </c>
      <c r="B421" s="9">
        <v>7</v>
      </c>
      <c r="C421" s="17" t="s">
        <v>124</v>
      </c>
      <c r="D421" s="64" t="s">
        <v>95</v>
      </c>
      <c r="E421" s="9">
        <v>198</v>
      </c>
      <c r="F421" s="9">
        <v>2</v>
      </c>
      <c r="G421" s="9">
        <v>99</v>
      </c>
      <c r="H421" s="9">
        <v>3.5</v>
      </c>
      <c r="I421" s="9">
        <v>0</v>
      </c>
      <c r="J421" s="9">
        <v>0</v>
      </c>
      <c r="K421" s="62" t="s">
        <v>44</v>
      </c>
      <c r="L421" s="63" t="str">
        <f t="shared" si="12"/>
        <v>Jul-2017</v>
      </c>
      <c r="M421" s="29">
        <f t="shared" si="13"/>
        <v>42917</v>
      </c>
    </row>
    <row r="422" spans="1:13" ht="21" x14ac:dyDescent="0.35">
      <c r="A422" s="8">
        <v>2017</v>
      </c>
      <c r="B422" s="9">
        <v>7</v>
      </c>
      <c r="C422" s="17" t="s">
        <v>42</v>
      </c>
      <c r="D422" s="64" t="s">
        <v>106</v>
      </c>
      <c r="E422" s="9">
        <v>168.1999989</v>
      </c>
      <c r="F422" s="9">
        <v>7</v>
      </c>
      <c r="G422" s="9">
        <v>24.03</v>
      </c>
      <c r="H422" s="9">
        <v>4.571428</v>
      </c>
      <c r="I422" s="9">
        <v>0</v>
      </c>
      <c r="J422" s="9">
        <v>0</v>
      </c>
      <c r="K422" s="62" t="s">
        <v>44</v>
      </c>
      <c r="L422" s="63" t="str">
        <f t="shared" si="12"/>
        <v>Jul-2017</v>
      </c>
      <c r="M422" s="29">
        <f t="shared" si="13"/>
        <v>42917</v>
      </c>
    </row>
    <row r="423" spans="1:13" ht="21" x14ac:dyDescent="0.35">
      <c r="A423" s="8">
        <v>2017</v>
      </c>
      <c r="B423" s="9">
        <v>7</v>
      </c>
      <c r="C423" s="17" t="s">
        <v>47</v>
      </c>
      <c r="D423" s="64" t="s">
        <v>117</v>
      </c>
      <c r="E423" s="9">
        <v>129.8999939</v>
      </c>
      <c r="F423" s="9">
        <v>1</v>
      </c>
      <c r="G423" s="9">
        <v>129.9</v>
      </c>
      <c r="H423" s="9">
        <v>5</v>
      </c>
      <c r="I423" s="9">
        <v>0</v>
      </c>
      <c r="J423" s="9">
        <v>0</v>
      </c>
      <c r="K423" s="62" t="s">
        <v>44</v>
      </c>
      <c r="L423" s="63" t="str">
        <f t="shared" si="12"/>
        <v>Jul-2017</v>
      </c>
      <c r="M423" s="29">
        <f t="shared" si="13"/>
        <v>42917</v>
      </c>
    </row>
    <row r="424" spans="1:13" ht="21" x14ac:dyDescent="0.35">
      <c r="A424" s="8">
        <v>2017</v>
      </c>
      <c r="B424" s="9">
        <v>7</v>
      </c>
      <c r="C424" s="17" t="s">
        <v>125</v>
      </c>
      <c r="D424" s="64" t="s">
        <v>112</v>
      </c>
      <c r="E424" s="9">
        <v>109.4000015</v>
      </c>
      <c r="F424" s="9">
        <v>1</v>
      </c>
      <c r="G424" s="9">
        <v>109.4</v>
      </c>
      <c r="H424" s="9">
        <v>1</v>
      </c>
      <c r="I424" s="9">
        <v>0</v>
      </c>
      <c r="J424" s="9">
        <v>0</v>
      </c>
      <c r="K424" s="62" t="s">
        <v>44</v>
      </c>
      <c r="L424" s="63" t="str">
        <f t="shared" si="12"/>
        <v>Jul-2017</v>
      </c>
      <c r="M424" s="29">
        <f t="shared" si="13"/>
        <v>42917</v>
      </c>
    </row>
    <row r="425" spans="1:13" ht="21" x14ac:dyDescent="0.35">
      <c r="A425" s="8">
        <v>2017</v>
      </c>
      <c r="B425" s="9">
        <v>7</v>
      </c>
      <c r="C425" s="17" t="s">
        <v>76</v>
      </c>
      <c r="D425" s="64" t="s">
        <v>97</v>
      </c>
      <c r="E425" s="9">
        <v>93.599998470000003</v>
      </c>
      <c r="F425" s="9">
        <v>1</v>
      </c>
      <c r="G425" s="9">
        <v>93.6</v>
      </c>
      <c r="H425" s="9">
        <v>5</v>
      </c>
      <c r="I425" s="9">
        <v>0</v>
      </c>
      <c r="J425" s="9">
        <v>0</v>
      </c>
      <c r="K425" s="62" t="s">
        <v>44</v>
      </c>
      <c r="L425" s="63" t="str">
        <f t="shared" si="12"/>
        <v>Jul-2017</v>
      </c>
      <c r="M425" s="29">
        <f t="shared" si="13"/>
        <v>42917</v>
      </c>
    </row>
    <row r="426" spans="1:13" ht="21" x14ac:dyDescent="0.35">
      <c r="A426" s="8">
        <v>2017</v>
      </c>
      <c r="B426" s="9">
        <v>7</v>
      </c>
      <c r="C426" s="17" t="s">
        <v>77</v>
      </c>
      <c r="D426" s="64" t="s">
        <v>123</v>
      </c>
      <c r="E426" s="9">
        <v>69.900001529999997</v>
      </c>
      <c r="F426" s="9">
        <v>1</v>
      </c>
      <c r="G426" s="9">
        <v>69.900000000000006</v>
      </c>
      <c r="H426" s="9">
        <v>5</v>
      </c>
      <c r="I426" s="9">
        <v>0</v>
      </c>
      <c r="J426" s="9">
        <v>0</v>
      </c>
      <c r="K426" s="62" t="s">
        <v>44</v>
      </c>
      <c r="L426" s="63" t="str">
        <f t="shared" si="12"/>
        <v>Jul-2017</v>
      </c>
      <c r="M426" s="29">
        <f t="shared" si="13"/>
        <v>42917</v>
      </c>
    </row>
    <row r="427" spans="1:13" ht="21" x14ac:dyDescent="0.35">
      <c r="A427" s="8">
        <v>2017</v>
      </c>
      <c r="B427" s="9">
        <v>7</v>
      </c>
      <c r="C427" s="17" t="s">
        <v>94</v>
      </c>
      <c r="D427" s="64" t="s">
        <v>108</v>
      </c>
      <c r="E427" s="9">
        <v>69.900001529999997</v>
      </c>
      <c r="F427" s="9">
        <v>1</v>
      </c>
      <c r="G427" s="9">
        <v>69.900000000000006</v>
      </c>
      <c r="H427" s="9">
        <v>4</v>
      </c>
      <c r="I427" s="9">
        <v>0</v>
      </c>
      <c r="J427" s="9">
        <v>0</v>
      </c>
      <c r="K427" s="62" t="s">
        <v>44</v>
      </c>
      <c r="L427" s="63" t="str">
        <f t="shared" si="12"/>
        <v>Jul-2017</v>
      </c>
      <c r="M427" s="29">
        <f t="shared" si="13"/>
        <v>42917</v>
      </c>
    </row>
    <row r="428" spans="1:13" ht="21" x14ac:dyDescent="0.35">
      <c r="A428" s="8">
        <v>2017</v>
      </c>
      <c r="B428" s="9">
        <v>7</v>
      </c>
      <c r="C428" s="17" t="s">
        <v>103</v>
      </c>
      <c r="D428" s="64" t="s">
        <v>113</v>
      </c>
      <c r="E428" s="9">
        <v>65.090001580000006</v>
      </c>
      <c r="F428" s="9">
        <v>2</v>
      </c>
      <c r="G428" s="9">
        <v>32.549999999999997</v>
      </c>
      <c r="H428" s="9">
        <v>4.5</v>
      </c>
      <c r="I428" s="9">
        <v>0</v>
      </c>
      <c r="J428" s="9">
        <v>0</v>
      </c>
      <c r="K428" s="62" t="s">
        <v>44</v>
      </c>
      <c r="L428" s="63" t="str">
        <f t="shared" si="12"/>
        <v>Jul-2017</v>
      </c>
      <c r="M428" s="29">
        <f t="shared" si="13"/>
        <v>42917</v>
      </c>
    </row>
    <row r="429" spans="1:13" ht="21" x14ac:dyDescent="0.35">
      <c r="A429" s="8">
        <v>2017</v>
      </c>
      <c r="B429" s="9">
        <v>7</v>
      </c>
      <c r="C429" s="17" t="s">
        <v>109</v>
      </c>
      <c r="D429" s="64" t="s">
        <v>90</v>
      </c>
      <c r="E429" s="9">
        <v>12.899999619999999</v>
      </c>
      <c r="F429" s="9">
        <v>1</v>
      </c>
      <c r="G429" s="9">
        <v>12.9</v>
      </c>
      <c r="H429" s="9">
        <v>4</v>
      </c>
      <c r="I429" s="9">
        <v>0</v>
      </c>
      <c r="J429" s="9">
        <v>0</v>
      </c>
      <c r="K429" s="62" t="s">
        <v>44</v>
      </c>
      <c r="L429" s="63" t="str">
        <f t="shared" si="12"/>
        <v>Jul-2017</v>
      </c>
      <c r="M429" s="29">
        <f t="shared" si="13"/>
        <v>42917</v>
      </c>
    </row>
    <row r="430" spans="1:13" ht="21" x14ac:dyDescent="0.35">
      <c r="A430" s="8">
        <v>2017</v>
      </c>
      <c r="B430" s="9">
        <v>8</v>
      </c>
      <c r="C430" s="17" t="s">
        <v>115</v>
      </c>
      <c r="D430" s="64" t="s">
        <v>66</v>
      </c>
      <c r="E430" s="9">
        <v>57137.230089999997</v>
      </c>
      <c r="F430" s="9">
        <v>448</v>
      </c>
      <c r="G430" s="9">
        <v>127.54</v>
      </c>
      <c r="H430" s="9">
        <v>4.0914219999999997</v>
      </c>
      <c r="I430" s="9">
        <v>1</v>
      </c>
      <c r="J430" s="9">
        <v>0.22</v>
      </c>
      <c r="K430" s="62" t="s">
        <v>44</v>
      </c>
      <c r="L430" s="63" t="str">
        <f t="shared" si="12"/>
        <v>Aug-2017</v>
      </c>
      <c r="M430" s="29">
        <f t="shared" si="13"/>
        <v>42948</v>
      </c>
    </row>
    <row r="431" spans="1:13" ht="21" x14ac:dyDescent="0.35">
      <c r="A431" s="8">
        <v>2017</v>
      </c>
      <c r="B431" s="9">
        <v>8</v>
      </c>
      <c r="C431" s="17" t="s">
        <v>118</v>
      </c>
      <c r="D431" s="64" t="s">
        <v>43</v>
      </c>
      <c r="E431" s="9">
        <v>49873.900139999998</v>
      </c>
      <c r="F431" s="9">
        <v>345</v>
      </c>
      <c r="G431" s="9">
        <v>144.56</v>
      </c>
      <c r="H431" s="9">
        <v>4.2756590000000001</v>
      </c>
      <c r="I431" s="9">
        <v>1</v>
      </c>
      <c r="J431" s="9">
        <v>0.28999999999999998</v>
      </c>
      <c r="K431" s="62" t="s">
        <v>44</v>
      </c>
      <c r="L431" s="63" t="str">
        <f t="shared" si="12"/>
        <v>Aug-2017</v>
      </c>
      <c r="M431" s="29">
        <f t="shared" si="13"/>
        <v>42948</v>
      </c>
    </row>
    <row r="432" spans="1:13" ht="21" x14ac:dyDescent="0.35">
      <c r="A432" s="8">
        <v>2017</v>
      </c>
      <c r="B432" s="9">
        <v>8</v>
      </c>
      <c r="C432" s="17" t="s">
        <v>120</v>
      </c>
      <c r="D432" s="64" t="s">
        <v>52</v>
      </c>
      <c r="E432" s="9">
        <v>41732.26008</v>
      </c>
      <c r="F432" s="9">
        <v>383</v>
      </c>
      <c r="G432" s="9">
        <v>108.96</v>
      </c>
      <c r="H432" s="9">
        <v>4.3756539999999999</v>
      </c>
      <c r="I432" s="9">
        <v>1</v>
      </c>
      <c r="J432" s="9">
        <v>0.26</v>
      </c>
      <c r="K432" s="62" t="s">
        <v>44</v>
      </c>
      <c r="L432" s="63" t="str">
        <f t="shared" si="12"/>
        <v>Aug-2017</v>
      </c>
      <c r="M432" s="29">
        <f t="shared" si="13"/>
        <v>42948</v>
      </c>
    </row>
    <row r="433" spans="1:13" ht="21" x14ac:dyDescent="0.35">
      <c r="A433" s="8">
        <v>2017</v>
      </c>
      <c r="B433" s="9">
        <v>8</v>
      </c>
      <c r="C433" s="17" t="s">
        <v>124</v>
      </c>
      <c r="D433" s="64" t="s">
        <v>62</v>
      </c>
      <c r="E433" s="9">
        <v>41720.030059999997</v>
      </c>
      <c r="F433" s="9">
        <v>241</v>
      </c>
      <c r="G433" s="9">
        <v>173.11</v>
      </c>
      <c r="H433" s="9">
        <v>4.3833330000000004</v>
      </c>
      <c r="I433" s="9">
        <v>1</v>
      </c>
      <c r="J433" s="9">
        <v>0.41</v>
      </c>
      <c r="K433" s="62" t="s">
        <v>44</v>
      </c>
      <c r="L433" s="63" t="str">
        <f t="shared" si="12"/>
        <v>Aug-2017</v>
      </c>
      <c r="M433" s="29">
        <f t="shared" si="13"/>
        <v>42948</v>
      </c>
    </row>
    <row r="434" spans="1:13" ht="21" x14ac:dyDescent="0.35">
      <c r="A434" s="8">
        <v>2017</v>
      </c>
      <c r="B434" s="9">
        <v>8</v>
      </c>
      <c r="C434" s="17" t="s">
        <v>42</v>
      </c>
      <c r="D434" s="64" t="s">
        <v>51</v>
      </c>
      <c r="E434" s="9">
        <v>36419.199650000002</v>
      </c>
      <c r="F434" s="9">
        <v>195</v>
      </c>
      <c r="G434" s="9">
        <v>186.77</v>
      </c>
      <c r="H434" s="9">
        <v>4.4153840000000004</v>
      </c>
      <c r="I434" s="9">
        <v>1</v>
      </c>
      <c r="J434" s="9">
        <v>0.51</v>
      </c>
      <c r="K434" s="62" t="s">
        <v>44</v>
      </c>
      <c r="L434" s="63" t="str">
        <f t="shared" si="12"/>
        <v>Aug-2017</v>
      </c>
      <c r="M434" s="29">
        <f t="shared" si="13"/>
        <v>42948</v>
      </c>
    </row>
    <row r="435" spans="1:13" ht="21" x14ac:dyDescent="0.35">
      <c r="A435" s="8">
        <v>2017</v>
      </c>
      <c r="B435" s="9">
        <v>8</v>
      </c>
      <c r="C435" s="17" t="s">
        <v>47</v>
      </c>
      <c r="D435" s="64" t="s">
        <v>45</v>
      </c>
      <c r="E435" s="9">
        <v>35511.730100000001</v>
      </c>
      <c r="F435" s="9">
        <v>332</v>
      </c>
      <c r="G435" s="9">
        <v>106.96</v>
      </c>
      <c r="H435" s="9">
        <v>4.0705520000000002</v>
      </c>
      <c r="I435" s="9">
        <v>3</v>
      </c>
      <c r="J435" s="9">
        <v>0.9</v>
      </c>
      <c r="K435" s="62" t="s">
        <v>44</v>
      </c>
      <c r="L435" s="63" t="str">
        <f t="shared" si="12"/>
        <v>Aug-2017</v>
      </c>
      <c r="M435" s="29">
        <f t="shared" si="13"/>
        <v>42948</v>
      </c>
    </row>
    <row r="436" spans="1:13" ht="21" x14ac:dyDescent="0.35">
      <c r="A436" s="8">
        <v>2017</v>
      </c>
      <c r="B436" s="9">
        <v>8</v>
      </c>
      <c r="C436" s="17" t="s">
        <v>125</v>
      </c>
      <c r="D436" s="64" t="s">
        <v>56</v>
      </c>
      <c r="E436" s="9">
        <v>35025.72</v>
      </c>
      <c r="F436" s="9">
        <v>297</v>
      </c>
      <c r="G436" s="9">
        <v>117.93</v>
      </c>
      <c r="H436" s="9">
        <v>4.2533779999999997</v>
      </c>
      <c r="I436" s="9">
        <v>0</v>
      </c>
      <c r="J436" s="9">
        <v>0</v>
      </c>
      <c r="K436" s="62" t="s">
        <v>44</v>
      </c>
      <c r="L436" s="63" t="str">
        <f t="shared" si="12"/>
        <v>Aug-2017</v>
      </c>
      <c r="M436" s="29">
        <f t="shared" si="13"/>
        <v>42948</v>
      </c>
    </row>
    <row r="437" spans="1:13" ht="21" x14ac:dyDescent="0.35">
      <c r="A437" s="8">
        <v>2017</v>
      </c>
      <c r="B437" s="9">
        <v>8</v>
      </c>
      <c r="C437" s="17" t="s">
        <v>76</v>
      </c>
      <c r="D437" s="64" t="s">
        <v>78</v>
      </c>
      <c r="E437" s="9">
        <v>33700</v>
      </c>
      <c r="F437" s="9">
        <v>29</v>
      </c>
      <c r="G437" s="9">
        <v>1162.07</v>
      </c>
      <c r="H437" s="9">
        <v>4.2068960000000004</v>
      </c>
      <c r="I437" s="9">
        <v>0</v>
      </c>
      <c r="J437" s="9">
        <v>0</v>
      </c>
      <c r="K437" s="62" t="s">
        <v>44</v>
      </c>
      <c r="L437" s="63" t="str">
        <f t="shared" si="12"/>
        <v>Aug-2017</v>
      </c>
      <c r="M437" s="29">
        <f t="shared" si="13"/>
        <v>42948</v>
      </c>
    </row>
    <row r="438" spans="1:13" ht="21" x14ac:dyDescent="0.35">
      <c r="A438" s="8">
        <v>2017</v>
      </c>
      <c r="B438" s="9">
        <v>8</v>
      </c>
      <c r="C438" s="17" t="s">
        <v>77</v>
      </c>
      <c r="D438" s="64" t="s">
        <v>57</v>
      </c>
      <c r="E438" s="9">
        <v>24269.400170000001</v>
      </c>
      <c r="F438" s="9">
        <v>199</v>
      </c>
      <c r="G438" s="9">
        <v>121.96</v>
      </c>
      <c r="H438" s="9">
        <v>4.3768840000000004</v>
      </c>
      <c r="I438" s="9">
        <v>1</v>
      </c>
      <c r="J438" s="9">
        <v>0.5</v>
      </c>
      <c r="K438" s="62" t="s">
        <v>44</v>
      </c>
      <c r="L438" s="63" t="str">
        <f t="shared" si="12"/>
        <v>Aug-2017</v>
      </c>
      <c r="M438" s="29">
        <f t="shared" si="13"/>
        <v>42948</v>
      </c>
    </row>
    <row r="439" spans="1:13" ht="21" x14ac:dyDescent="0.35">
      <c r="A439" s="8">
        <v>2017</v>
      </c>
      <c r="B439" s="9">
        <v>8</v>
      </c>
      <c r="C439" s="17" t="s">
        <v>94</v>
      </c>
      <c r="D439" s="64" t="s">
        <v>61</v>
      </c>
      <c r="E439" s="9">
        <v>23733.940009999998</v>
      </c>
      <c r="F439" s="9">
        <v>249</v>
      </c>
      <c r="G439" s="9">
        <v>95.32</v>
      </c>
      <c r="H439" s="9">
        <v>4.1862339999999998</v>
      </c>
      <c r="I439" s="9">
        <v>1</v>
      </c>
      <c r="J439" s="9">
        <v>0.4</v>
      </c>
      <c r="K439" s="62" t="s">
        <v>44</v>
      </c>
      <c r="L439" s="63" t="str">
        <f t="shared" si="12"/>
        <v>Aug-2017</v>
      </c>
      <c r="M439" s="29">
        <f t="shared" si="13"/>
        <v>42948</v>
      </c>
    </row>
    <row r="440" spans="1:13" ht="21" x14ac:dyDescent="0.35">
      <c r="A440" s="8">
        <v>2017</v>
      </c>
      <c r="B440" s="9">
        <v>8</v>
      </c>
      <c r="C440" s="17" t="s">
        <v>103</v>
      </c>
      <c r="D440" s="64" t="s">
        <v>53</v>
      </c>
      <c r="E440" s="9">
        <v>20421.109929999999</v>
      </c>
      <c r="F440" s="9">
        <v>133</v>
      </c>
      <c r="G440" s="9">
        <v>153.54</v>
      </c>
      <c r="H440" s="9">
        <v>4.2878780000000001</v>
      </c>
      <c r="I440" s="9">
        <v>1</v>
      </c>
      <c r="J440" s="9">
        <v>0.75</v>
      </c>
      <c r="K440" s="62" t="s">
        <v>44</v>
      </c>
      <c r="L440" s="63" t="str">
        <f t="shared" si="12"/>
        <v>Aug-2017</v>
      </c>
      <c r="M440" s="29">
        <f t="shared" si="13"/>
        <v>42948</v>
      </c>
    </row>
    <row r="441" spans="1:13" ht="21" x14ac:dyDescent="0.35">
      <c r="A441" s="8">
        <v>2017</v>
      </c>
      <c r="B441" s="9">
        <v>8</v>
      </c>
      <c r="C441" s="17" t="s">
        <v>109</v>
      </c>
      <c r="D441" s="64" t="s">
        <v>55</v>
      </c>
      <c r="E441" s="9">
        <v>19982.129919999999</v>
      </c>
      <c r="F441" s="9">
        <v>125</v>
      </c>
      <c r="G441" s="9">
        <v>159.86000000000001</v>
      </c>
      <c r="H441" s="9">
        <v>4.2080000000000002</v>
      </c>
      <c r="I441" s="9">
        <v>2</v>
      </c>
      <c r="J441" s="9">
        <v>1.6</v>
      </c>
      <c r="K441" s="62" t="s">
        <v>44</v>
      </c>
      <c r="L441" s="63" t="str">
        <f t="shared" si="12"/>
        <v>Aug-2017</v>
      </c>
      <c r="M441" s="29">
        <f t="shared" si="13"/>
        <v>42948</v>
      </c>
    </row>
    <row r="442" spans="1:13" ht="21" x14ac:dyDescent="0.35">
      <c r="A442" s="8">
        <v>2017</v>
      </c>
      <c r="B442" s="9">
        <v>8</v>
      </c>
      <c r="C442" s="17" t="s">
        <v>115</v>
      </c>
      <c r="D442" s="64" t="s">
        <v>49</v>
      </c>
      <c r="E442" s="9">
        <v>18126.870019999998</v>
      </c>
      <c r="F442" s="9">
        <v>170</v>
      </c>
      <c r="G442" s="9">
        <v>106.63</v>
      </c>
      <c r="H442" s="9">
        <v>4.4082840000000001</v>
      </c>
      <c r="I442" s="9">
        <v>1</v>
      </c>
      <c r="J442" s="9">
        <v>0.59</v>
      </c>
      <c r="K442" s="62" t="s">
        <v>44</v>
      </c>
      <c r="L442" s="63" t="str">
        <f t="shared" si="12"/>
        <v>Aug-2017</v>
      </c>
      <c r="M442" s="29">
        <f t="shared" si="13"/>
        <v>42948</v>
      </c>
    </row>
    <row r="443" spans="1:13" ht="21" x14ac:dyDescent="0.35">
      <c r="A443" s="8">
        <v>2017</v>
      </c>
      <c r="B443" s="9">
        <v>8</v>
      </c>
      <c r="C443" s="17" t="s">
        <v>118</v>
      </c>
      <c r="D443" s="64" t="s">
        <v>48</v>
      </c>
      <c r="E443" s="9">
        <v>13142.090050000001</v>
      </c>
      <c r="F443" s="9">
        <v>118</v>
      </c>
      <c r="G443" s="9">
        <v>111.37</v>
      </c>
      <c r="H443" s="9">
        <v>4.3931620000000002</v>
      </c>
      <c r="I443" s="9">
        <v>0</v>
      </c>
      <c r="J443" s="9">
        <v>0</v>
      </c>
      <c r="K443" s="62" t="s">
        <v>44</v>
      </c>
      <c r="L443" s="63" t="str">
        <f t="shared" si="12"/>
        <v>Aug-2017</v>
      </c>
      <c r="M443" s="29">
        <f t="shared" si="13"/>
        <v>42948</v>
      </c>
    </row>
    <row r="444" spans="1:13" ht="21" x14ac:dyDescent="0.35">
      <c r="A444" s="8">
        <v>2017</v>
      </c>
      <c r="B444" s="9">
        <v>8</v>
      </c>
      <c r="C444" s="17" t="s">
        <v>120</v>
      </c>
      <c r="D444" s="64" t="s">
        <v>46</v>
      </c>
      <c r="E444" s="9">
        <v>10930.289940000001</v>
      </c>
      <c r="F444" s="9">
        <v>131</v>
      </c>
      <c r="G444" s="9">
        <v>83.44</v>
      </c>
      <c r="H444" s="9">
        <v>4.0610679999999997</v>
      </c>
      <c r="I444" s="9">
        <v>2</v>
      </c>
      <c r="J444" s="9">
        <v>1.53</v>
      </c>
      <c r="K444" s="62" t="s">
        <v>44</v>
      </c>
      <c r="L444" s="63" t="str">
        <f t="shared" si="12"/>
        <v>Aug-2017</v>
      </c>
      <c r="M444" s="29">
        <f t="shared" si="13"/>
        <v>42948</v>
      </c>
    </row>
    <row r="445" spans="1:13" ht="21" x14ac:dyDescent="0.35">
      <c r="A445" s="8">
        <v>2017</v>
      </c>
      <c r="B445" s="9">
        <v>8</v>
      </c>
      <c r="C445" s="17" t="s">
        <v>124</v>
      </c>
      <c r="D445" s="64" t="s">
        <v>64</v>
      </c>
      <c r="E445" s="9">
        <v>10500.78995</v>
      </c>
      <c r="F445" s="9">
        <v>76</v>
      </c>
      <c r="G445" s="9">
        <v>138.16999999999999</v>
      </c>
      <c r="H445" s="9">
        <v>4.3157889999999997</v>
      </c>
      <c r="I445" s="9">
        <v>0</v>
      </c>
      <c r="J445" s="9">
        <v>0</v>
      </c>
      <c r="K445" s="62" t="s">
        <v>44</v>
      </c>
      <c r="L445" s="63" t="str">
        <f t="shared" si="12"/>
        <v>Aug-2017</v>
      </c>
      <c r="M445" s="29">
        <f t="shared" si="13"/>
        <v>42948</v>
      </c>
    </row>
    <row r="446" spans="1:13" ht="21" x14ac:dyDescent="0.35">
      <c r="A446" s="8">
        <v>2017</v>
      </c>
      <c r="B446" s="9">
        <v>8</v>
      </c>
      <c r="C446" s="17" t="s">
        <v>42</v>
      </c>
      <c r="D446" s="64" t="s">
        <v>60</v>
      </c>
      <c r="E446" s="9">
        <v>9877.3601070000004</v>
      </c>
      <c r="F446" s="9">
        <v>46</v>
      </c>
      <c r="G446" s="9">
        <v>214.73</v>
      </c>
      <c r="H446" s="9">
        <v>3.8913039999999999</v>
      </c>
      <c r="I446" s="9">
        <v>0</v>
      </c>
      <c r="J446" s="9">
        <v>0</v>
      </c>
      <c r="K446" s="62" t="s">
        <v>44</v>
      </c>
      <c r="L446" s="63" t="str">
        <f t="shared" si="12"/>
        <v>Aug-2017</v>
      </c>
      <c r="M446" s="29">
        <f t="shared" si="13"/>
        <v>42948</v>
      </c>
    </row>
    <row r="447" spans="1:13" ht="21" x14ac:dyDescent="0.35">
      <c r="A447" s="8">
        <v>2017</v>
      </c>
      <c r="B447" s="9">
        <v>8</v>
      </c>
      <c r="C447" s="17" t="s">
        <v>47</v>
      </c>
      <c r="D447" s="64" t="s">
        <v>50</v>
      </c>
      <c r="E447" s="9">
        <v>8824.2499449999996</v>
      </c>
      <c r="F447" s="9">
        <v>85</v>
      </c>
      <c r="G447" s="9">
        <v>103.81</v>
      </c>
      <c r="H447" s="9">
        <v>4.2440470000000001</v>
      </c>
      <c r="I447" s="9">
        <v>0</v>
      </c>
      <c r="J447" s="9">
        <v>0</v>
      </c>
      <c r="K447" s="62" t="s">
        <v>44</v>
      </c>
      <c r="L447" s="63" t="str">
        <f t="shared" si="12"/>
        <v>Aug-2017</v>
      </c>
      <c r="M447" s="29">
        <f t="shared" si="13"/>
        <v>42948</v>
      </c>
    </row>
    <row r="448" spans="1:13" ht="21" x14ac:dyDescent="0.35">
      <c r="A448" s="8">
        <v>2017</v>
      </c>
      <c r="B448" s="9">
        <v>8</v>
      </c>
      <c r="C448" s="17" t="s">
        <v>125</v>
      </c>
      <c r="D448" s="64" t="s">
        <v>84</v>
      </c>
      <c r="E448" s="9">
        <v>7185.549986</v>
      </c>
      <c r="F448" s="9">
        <v>24</v>
      </c>
      <c r="G448" s="9">
        <v>299.39999999999998</v>
      </c>
      <c r="H448" s="9">
        <v>4.25</v>
      </c>
      <c r="I448" s="9">
        <v>1</v>
      </c>
      <c r="J448" s="9">
        <v>4.17</v>
      </c>
      <c r="K448" s="62" t="s">
        <v>44</v>
      </c>
      <c r="L448" s="63" t="str">
        <f t="shared" si="12"/>
        <v>Aug-2017</v>
      </c>
      <c r="M448" s="29">
        <f t="shared" si="13"/>
        <v>42948</v>
      </c>
    </row>
    <row r="449" spans="1:13" ht="21" x14ac:dyDescent="0.35">
      <c r="A449" s="8">
        <v>2017</v>
      </c>
      <c r="B449" s="9">
        <v>8</v>
      </c>
      <c r="C449" s="17" t="s">
        <v>76</v>
      </c>
      <c r="D449" s="64" t="s">
        <v>83</v>
      </c>
      <c r="E449" s="9">
        <v>6833.1000439999998</v>
      </c>
      <c r="F449" s="9">
        <v>58</v>
      </c>
      <c r="G449" s="9">
        <v>117.81</v>
      </c>
      <c r="H449" s="9">
        <v>4.4137930000000001</v>
      </c>
      <c r="I449" s="9">
        <v>0</v>
      </c>
      <c r="J449" s="9">
        <v>0</v>
      </c>
      <c r="K449" s="62" t="s">
        <v>44</v>
      </c>
      <c r="L449" s="63" t="str">
        <f t="shared" si="12"/>
        <v>Aug-2017</v>
      </c>
      <c r="M449" s="29">
        <f t="shared" si="13"/>
        <v>42948</v>
      </c>
    </row>
    <row r="450" spans="1:13" ht="21" x14ac:dyDescent="0.35">
      <c r="A450" s="8">
        <v>2017</v>
      </c>
      <c r="B450" s="9">
        <v>8</v>
      </c>
      <c r="C450" s="17" t="s">
        <v>77</v>
      </c>
      <c r="D450" s="64" t="s">
        <v>65</v>
      </c>
      <c r="E450" s="9">
        <v>6617.6800480000002</v>
      </c>
      <c r="F450" s="9">
        <v>89</v>
      </c>
      <c r="G450" s="9">
        <v>74.36</v>
      </c>
      <c r="H450" s="9">
        <v>4.2921339999999999</v>
      </c>
      <c r="I450" s="9">
        <v>0</v>
      </c>
      <c r="J450" s="9">
        <v>0</v>
      </c>
      <c r="K450" s="62" t="s">
        <v>44</v>
      </c>
      <c r="L450" s="63" t="str">
        <f t="shared" ref="L450:L513" si="14">TEXT(DATE(A450,B450,1),"mmm-yyyy")</f>
        <v>Aug-2017</v>
      </c>
      <c r="M450" s="29">
        <f t="shared" ref="M450:M513" si="15">DATE(A450,B450,1)</f>
        <v>42948</v>
      </c>
    </row>
    <row r="451" spans="1:13" ht="21" x14ac:dyDescent="0.35">
      <c r="A451" s="8">
        <v>2017</v>
      </c>
      <c r="B451" s="9">
        <v>8</v>
      </c>
      <c r="C451" s="17" t="s">
        <v>94</v>
      </c>
      <c r="D451" s="64" t="s">
        <v>81</v>
      </c>
      <c r="E451" s="9">
        <v>6366.91003</v>
      </c>
      <c r="F451" s="9">
        <v>75</v>
      </c>
      <c r="G451" s="9">
        <v>84.89</v>
      </c>
      <c r="H451" s="9">
        <v>4.5199999999999996</v>
      </c>
      <c r="I451" s="9">
        <v>0</v>
      </c>
      <c r="J451" s="9">
        <v>0</v>
      </c>
      <c r="K451" s="62" t="s">
        <v>44</v>
      </c>
      <c r="L451" s="63" t="str">
        <f t="shared" si="14"/>
        <v>Aug-2017</v>
      </c>
      <c r="M451" s="29">
        <f t="shared" si="15"/>
        <v>42948</v>
      </c>
    </row>
    <row r="452" spans="1:13" ht="21" x14ac:dyDescent="0.35">
      <c r="A452" s="8">
        <v>2017</v>
      </c>
      <c r="B452" s="9">
        <v>8</v>
      </c>
      <c r="C452" s="17" t="s">
        <v>103</v>
      </c>
      <c r="D452" s="64" t="s">
        <v>0</v>
      </c>
      <c r="E452" s="9">
        <v>5243.4000169999999</v>
      </c>
      <c r="F452" s="9">
        <v>66</v>
      </c>
      <c r="G452" s="9">
        <v>79.45</v>
      </c>
      <c r="H452" s="9" t="s">
        <v>0</v>
      </c>
      <c r="I452" s="9" t="s">
        <v>0</v>
      </c>
      <c r="J452" s="9" t="s">
        <v>0</v>
      </c>
      <c r="K452" s="62" t="s">
        <v>44</v>
      </c>
      <c r="L452" s="63" t="str">
        <f t="shared" si="14"/>
        <v>Aug-2017</v>
      </c>
      <c r="M452" s="29">
        <f t="shared" si="15"/>
        <v>42948</v>
      </c>
    </row>
    <row r="453" spans="1:13" ht="21" x14ac:dyDescent="0.35">
      <c r="A453" s="8">
        <v>2017</v>
      </c>
      <c r="B453" s="9">
        <v>8</v>
      </c>
      <c r="C453" s="17" t="s">
        <v>109</v>
      </c>
      <c r="D453" s="64" t="s">
        <v>96</v>
      </c>
      <c r="E453" s="9">
        <v>4587.0500670000001</v>
      </c>
      <c r="F453" s="9">
        <v>49</v>
      </c>
      <c r="G453" s="9">
        <v>93.61</v>
      </c>
      <c r="H453" s="9">
        <v>3.9285709999999998</v>
      </c>
      <c r="I453" s="9">
        <v>0</v>
      </c>
      <c r="J453" s="9">
        <v>0</v>
      </c>
      <c r="K453" s="62" t="s">
        <v>44</v>
      </c>
      <c r="L453" s="63" t="str">
        <f t="shared" si="14"/>
        <v>Aug-2017</v>
      </c>
      <c r="M453" s="29">
        <f t="shared" si="15"/>
        <v>42948</v>
      </c>
    </row>
    <row r="454" spans="1:13" ht="21" x14ac:dyDescent="0.35">
      <c r="A454" s="8">
        <v>2017</v>
      </c>
      <c r="B454" s="9">
        <v>8</v>
      </c>
      <c r="C454" s="17" t="s">
        <v>115</v>
      </c>
      <c r="D454" s="64" t="s">
        <v>80</v>
      </c>
      <c r="E454" s="9">
        <v>4297.0099980000005</v>
      </c>
      <c r="F454" s="9">
        <v>32</v>
      </c>
      <c r="G454" s="9">
        <v>134.28</v>
      </c>
      <c r="H454" s="9">
        <v>4.4375</v>
      </c>
      <c r="I454" s="9">
        <v>0</v>
      </c>
      <c r="J454" s="9">
        <v>0</v>
      </c>
      <c r="K454" s="62" t="s">
        <v>44</v>
      </c>
      <c r="L454" s="63" t="str">
        <f t="shared" si="14"/>
        <v>Aug-2017</v>
      </c>
      <c r="M454" s="29">
        <f t="shared" si="15"/>
        <v>42948</v>
      </c>
    </row>
    <row r="455" spans="1:13" ht="21" x14ac:dyDescent="0.35">
      <c r="A455" s="8">
        <v>2017</v>
      </c>
      <c r="B455" s="9">
        <v>8</v>
      </c>
      <c r="C455" s="17" t="s">
        <v>118</v>
      </c>
      <c r="D455" s="64" t="s">
        <v>54</v>
      </c>
      <c r="E455" s="9">
        <v>4271.7299190000003</v>
      </c>
      <c r="F455" s="9">
        <v>12</v>
      </c>
      <c r="G455" s="9">
        <v>355.98</v>
      </c>
      <c r="H455" s="9">
        <v>4.6363630000000002</v>
      </c>
      <c r="I455" s="9">
        <v>0</v>
      </c>
      <c r="J455" s="9">
        <v>0</v>
      </c>
      <c r="K455" s="62" t="s">
        <v>44</v>
      </c>
      <c r="L455" s="63" t="str">
        <f t="shared" si="14"/>
        <v>Aug-2017</v>
      </c>
      <c r="M455" s="29">
        <f t="shared" si="15"/>
        <v>42948</v>
      </c>
    </row>
    <row r="456" spans="1:13" ht="21" x14ac:dyDescent="0.35">
      <c r="A456" s="8">
        <v>2017</v>
      </c>
      <c r="B456" s="9">
        <v>8</v>
      </c>
      <c r="C456" s="17" t="s">
        <v>120</v>
      </c>
      <c r="D456" s="64" t="s">
        <v>79</v>
      </c>
      <c r="E456" s="9">
        <v>4004.5500339999999</v>
      </c>
      <c r="F456" s="9">
        <v>17</v>
      </c>
      <c r="G456" s="9">
        <v>235.56</v>
      </c>
      <c r="H456" s="9">
        <v>4.625</v>
      </c>
      <c r="I456" s="9">
        <v>2</v>
      </c>
      <c r="J456" s="9">
        <v>11.76</v>
      </c>
      <c r="K456" s="62" t="s">
        <v>44</v>
      </c>
      <c r="L456" s="63" t="str">
        <f t="shared" si="14"/>
        <v>Aug-2017</v>
      </c>
      <c r="M456" s="29">
        <f t="shared" si="15"/>
        <v>42948</v>
      </c>
    </row>
    <row r="457" spans="1:13" ht="21" x14ac:dyDescent="0.35">
      <c r="A457" s="8">
        <v>2017</v>
      </c>
      <c r="B457" s="9">
        <v>8</v>
      </c>
      <c r="C457" s="17" t="s">
        <v>124</v>
      </c>
      <c r="D457" s="64" t="s">
        <v>99</v>
      </c>
      <c r="E457" s="9">
        <v>4000.1900220000002</v>
      </c>
      <c r="F457" s="9">
        <v>24</v>
      </c>
      <c r="G457" s="9">
        <v>166.67</v>
      </c>
      <c r="H457" s="9">
        <v>4.2608689999999996</v>
      </c>
      <c r="I457" s="9">
        <v>0</v>
      </c>
      <c r="J457" s="9">
        <v>0</v>
      </c>
      <c r="K457" s="62" t="s">
        <v>44</v>
      </c>
      <c r="L457" s="63" t="str">
        <f t="shared" si="14"/>
        <v>Aug-2017</v>
      </c>
      <c r="M457" s="29">
        <f t="shared" si="15"/>
        <v>42948</v>
      </c>
    </row>
    <row r="458" spans="1:13" ht="21" x14ac:dyDescent="0.35">
      <c r="A458" s="8">
        <v>2017</v>
      </c>
      <c r="B458" s="9">
        <v>8</v>
      </c>
      <c r="C458" s="17" t="s">
        <v>42</v>
      </c>
      <c r="D458" s="64" t="s">
        <v>63</v>
      </c>
      <c r="E458" s="9">
        <v>3343.5399889999999</v>
      </c>
      <c r="F458" s="9">
        <v>14</v>
      </c>
      <c r="G458" s="9">
        <v>238.82</v>
      </c>
      <c r="H458" s="9">
        <v>4.5</v>
      </c>
      <c r="I458" s="9">
        <v>0</v>
      </c>
      <c r="J458" s="9">
        <v>0</v>
      </c>
      <c r="K458" s="62" t="s">
        <v>44</v>
      </c>
      <c r="L458" s="63" t="str">
        <f t="shared" si="14"/>
        <v>Aug-2017</v>
      </c>
      <c r="M458" s="29">
        <f t="shared" si="15"/>
        <v>42948</v>
      </c>
    </row>
    <row r="459" spans="1:13" ht="21" x14ac:dyDescent="0.35">
      <c r="A459" s="8">
        <v>2017</v>
      </c>
      <c r="B459" s="9">
        <v>8</v>
      </c>
      <c r="C459" s="17" t="s">
        <v>47</v>
      </c>
      <c r="D459" s="64" t="s">
        <v>71</v>
      </c>
      <c r="E459" s="9">
        <v>3214.8000200000001</v>
      </c>
      <c r="F459" s="9">
        <v>29</v>
      </c>
      <c r="G459" s="9">
        <v>110.86</v>
      </c>
      <c r="H459" s="9">
        <v>4.5</v>
      </c>
      <c r="I459" s="9">
        <v>1</v>
      </c>
      <c r="J459" s="9">
        <v>3.45</v>
      </c>
      <c r="K459" s="62" t="s">
        <v>44</v>
      </c>
      <c r="L459" s="63" t="str">
        <f t="shared" si="14"/>
        <v>Aug-2017</v>
      </c>
      <c r="M459" s="29">
        <f t="shared" si="15"/>
        <v>42948</v>
      </c>
    </row>
    <row r="460" spans="1:13" ht="21" x14ac:dyDescent="0.35">
      <c r="A460" s="8">
        <v>2017</v>
      </c>
      <c r="B460" s="9">
        <v>8</v>
      </c>
      <c r="C460" s="17" t="s">
        <v>125</v>
      </c>
      <c r="D460" s="64" t="s">
        <v>58</v>
      </c>
      <c r="E460" s="9">
        <v>2854.150032</v>
      </c>
      <c r="F460" s="9">
        <v>52</v>
      </c>
      <c r="G460" s="9">
        <v>54.89</v>
      </c>
      <c r="H460" s="9">
        <v>4.0999999999999996</v>
      </c>
      <c r="I460" s="9">
        <v>0</v>
      </c>
      <c r="J460" s="9">
        <v>0</v>
      </c>
      <c r="K460" s="62" t="s">
        <v>44</v>
      </c>
      <c r="L460" s="63" t="str">
        <f t="shared" si="14"/>
        <v>Aug-2017</v>
      </c>
      <c r="M460" s="29">
        <f t="shared" si="15"/>
        <v>42948</v>
      </c>
    </row>
    <row r="461" spans="1:13" ht="21" x14ac:dyDescent="0.35">
      <c r="A461" s="8">
        <v>2017</v>
      </c>
      <c r="B461" s="9">
        <v>8</v>
      </c>
      <c r="C461" s="17" t="s">
        <v>76</v>
      </c>
      <c r="D461" s="64" t="s">
        <v>82</v>
      </c>
      <c r="E461" s="9">
        <v>2478.0700320000001</v>
      </c>
      <c r="F461" s="9">
        <v>21</v>
      </c>
      <c r="G461" s="9">
        <v>118</v>
      </c>
      <c r="H461" s="9">
        <v>4.25</v>
      </c>
      <c r="I461" s="9">
        <v>0</v>
      </c>
      <c r="J461" s="9">
        <v>0</v>
      </c>
      <c r="K461" s="62" t="s">
        <v>44</v>
      </c>
      <c r="L461" s="63" t="str">
        <f t="shared" si="14"/>
        <v>Aug-2017</v>
      </c>
      <c r="M461" s="29">
        <f t="shared" si="15"/>
        <v>42948</v>
      </c>
    </row>
    <row r="462" spans="1:13" ht="21" x14ac:dyDescent="0.35">
      <c r="A462" s="8">
        <v>2017</v>
      </c>
      <c r="B462" s="9">
        <v>8</v>
      </c>
      <c r="C462" s="17" t="s">
        <v>77</v>
      </c>
      <c r="D462" s="64" t="s">
        <v>59</v>
      </c>
      <c r="E462" s="9">
        <v>1937.390011</v>
      </c>
      <c r="F462" s="9">
        <v>22</v>
      </c>
      <c r="G462" s="9">
        <v>88.06</v>
      </c>
      <c r="H462" s="9">
        <v>4.1363630000000002</v>
      </c>
      <c r="I462" s="9">
        <v>0</v>
      </c>
      <c r="J462" s="9">
        <v>0</v>
      </c>
      <c r="K462" s="62" t="s">
        <v>44</v>
      </c>
      <c r="L462" s="63" t="str">
        <f t="shared" si="14"/>
        <v>Aug-2017</v>
      </c>
      <c r="M462" s="29">
        <f t="shared" si="15"/>
        <v>42948</v>
      </c>
    </row>
    <row r="463" spans="1:13" ht="21" x14ac:dyDescent="0.35">
      <c r="A463" s="8">
        <v>2017</v>
      </c>
      <c r="B463" s="9">
        <v>8</v>
      </c>
      <c r="C463" s="17" t="s">
        <v>94</v>
      </c>
      <c r="D463" s="64" t="s">
        <v>74</v>
      </c>
      <c r="E463" s="9">
        <v>1491.69002</v>
      </c>
      <c r="F463" s="9">
        <v>18</v>
      </c>
      <c r="G463" s="9">
        <v>82.87</v>
      </c>
      <c r="H463" s="9">
        <v>4.5882350000000001</v>
      </c>
      <c r="I463" s="9">
        <v>0</v>
      </c>
      <c r="J463" s="9">
        <v>0</v>
      </c>
      <c r="K463" s="62" t="s">
        <v>44</v>
      </c>
      <c r="L463" s="63" t="str">
        <f t="shared" si="14"/>
        <v>Aug-2017</v>
      </c>
      <c r="M463" s="29">
        <f t="shared" si="15"/>
        <v>42948</v>
      </c>
    </row>
    <row r="464" spans="1:13" ht="21" x14ac:dyDescent="0.35">
      <c r="A464" s="8">
        <v>2017</v>
      </c>
      <c r="B464" s="9">
        <v>8</v>
      </c>
      <c r="C464" s="17" t="s">
        <v>103</v>
      </c>
      <c r="D464" s="64" t="s">
        <v>98</v>
      </c>
      <c r="E464" s="9">
        <v>1286.190006</v>
      </c>
      <c r="F464" s="9">
        <v>7</v>
      </c>
      <c r="G464" s="9">
        <v>183.74</v>
      </c>
      <c r="H464" s="9">
        <v>4</v>
      </c>
      <c r="I464" s="9">
        <v>0</v>
      </c>
      <c r="J464" s="9">
        <v>0</v>
      </c>
      <c r="K464" s="62" t="s">
        <v>44</v>
      </c>
      <c r="L464" s="63" t="str">
        <f t="shared" si="14"/>
        <v>Aug-2017</v>
      </c>
      <c r="M464" s="29">
        <f t="shared" si="15"/>
        <v>42948</v>
      </c>
    </row>
    <row r="465" spans="1:13" ht="21" x14ac:dyDescent="0.35">
      <c r="A465" s="8">
        <v>2017</v>
      </c>
      <c r="B465" s="9">
        <v>8</v>
      </c>
      <c r="C465" s="17" t="s">
        <v>109</v>
      </c>
      <c r="D465" s="64" t="s">
        <v>75</v>
      </c>
      <c r="E465" s="9">
        <v>1205.0500199999999</v>
      </c>
      <c r="F465" s="9">
        <v>13</v>
      </c>
      <c r="G465" s="9">
        <v>92.7</v>
      </c>
      <c r="H465" s="9">
        <v>2.8461530000000002</v>
      </c>
      <c r="I465" s="9">
        <v>0</v>
      </c>
      <c r="J465" s="9">
        <v>0</v>
      </c>
      <c r="K465" s="62" t="s">
        <v>44</v>
      </c>
      <c r="L465" s="63" t="str">
        <f t="shared" si="14"/>
        <v>Aug-2017</v>
      </c>
      <c r="M465" s="29">
        <f t="shared" si="15"/>
        <v>42948</v>
      </c>
    </row>
    <row r="466" spans="1:13" ht="21" x14ac:dyDescent="0.35">
      <c r="A466" s="8">
        <v>2017</v>
      </c>
      <c r="B466" s="9">
        <v>8</v>
      </c>
      <c r="C466" s="17" t="s">
        <v>115</v>
      </c>
      <c r="D466" s="64" t="s">
        <v>68</v>
      </c>
      <c r="E466" s="9">
        <v>1196.3799919999999</v>
      </c>
      <c r="F466" s="9">
        <v>9</v>
      </c>
      <c r="G466" s="9">
        <v>132.93</v>
      </c>
      <c r="H466" s="9">
        <v>4.6666660000000002</v>
      </c>
      <c r="I466" s="9">
        <v>0</v>
      </c>
      <c r="J466" s="9">
        <v>0</v>
      </c>
      <c r="K466" s="62" t="s">
        <v>44</v>
      </c>
      <c r="L466" s="63" t="str">
        <f t="shared" si="14"/>
        <v>Aug-2017</v>
      </c>
      <c r="M466" s="29">
        <f t="shared" si="15"/>
        <v>42948</v>
      </c>
    </row>
    <row r="467" spans="1:13" ht="21" x14ac:dyDescent="0.35">
      <c r="A467" s="8">
        <v>2017</v>
      </c>
      <c r="B467" s="9">
        <v>8</v>
      </c>
      <c r="C467" s="17" t="s">
        <v>118</v>
      </c>
      <c r="D467" s="64" t="s">
        <v>85</v>
      </c>
      <c r="E467" s="9">
        <v>1180.000004</v>
      </c>
      <c r="F467" s="9">
        <v>6</v>
      </c>
      <c r="G467" s="9">
        <v>196.67</v>
      </c>
      <c r="H467" s="9">
        <v>3.8333330000000001</v>
      </c>
      <c r="I467" s="9">
        <v>0</v>
      </c>
      <c r="J467" s="9">
        <v>0</v>
      </c>
      <c r="K467" s="62" t="s">
        <v>44</v>
      </c>
      <c r="L467" s="63" t="str">
        <f t="shared" si="14"/>
        <v>Aug-2017</v>
      </c>
      <c r="M467" s="29">
        <f t="shared" si="15"/>
        <v>42948</v>
      </c>
    </row>
    <row r="468" spans="1:13" ht="21" x14ac:dyDescent="0.35">
      <c r="A468" s="8">
        <v>2017</v>
      </c>
      <c r="B468" s="9">
        <v>8</v>
      </c>
      <c r="C468" s="17" t="s">
        <v>120</v>
      </c>
      <c r="D468" s="64" t="s">
        <v>87</v>
      </c>
      <c r="E468" s="9">
        <v>1111.0000150000001</v>
      </c>
      <c r="F468" s="9">
        <v>13</v>
      </c>
      <c r="G468" s="9">
        <v>85.46</v>
      </c>
      <c r="H468" s="9">
        <v>4.3846150000000002</v>
      </c>
      <c r="I468" s="9">
        <v>0</v>
      </c>
      <c r="J468" s="9">
        <v>0</v>
      </c>
      <c r="K468" s="62" t="s">
        <v>44</v>
      </c>
      <c r="L468" s="63" t="str">
        <f t="shared" si="14"/>
        <v>Aug-2017</v>
      </c>
      <c r="M468" s="29">
        <f t="shared" si="15"/>
        <v>42948</v>
      </c>
    </row>
    <row r="469" spans="1:13" ht="21" x14ac:dyDescent="0.35">
      <c r="A469" s="8">
        <v>2017</v>
      </c>
      <c r="B469" s="9">
        <v>8</v>
      </c>
      <c r="C469" s="17" t="s">
        <v>124</v>
      </c>
      <c r="D469" s="64" t="s">
        <v>69</v>
      </c>
      <c r="E469" s="9">
        <v>1050.6999949999999</v>
      </c>
      <c r="F469" s="9">
        <v>7</v>
      </c>
      <c r="G469" s="9">
        <v>150.1</v>
      </c>
      <c r="H469" s="9">
        <v>3.785714</v>
      </c>
      <c r="I469" s="9">
        <v>0</v>
      </c>
      <c r="J469" s="9">
        <v>0</v>
      </c>
      <c r="K469" s="62" t="s">
        <v>44</v>
      </c>
      <c r="L469" s="63" t="str">
        <f t="shared" si="14"/>
        <v>Aug-2017</v>
      </c>
      <c r="M469" s="29">
        <f t="shared" si="15"/>
        <v>42948</v>
      </c>
    </row>
    <row r="470" spans="1:13" ht="21" x14ac:dyDescent="0.35">
      <c r="A470" s="8">
        <v>2017</v>
      </c>
      <c r="B470" s="9">
        <v>8</v>
      </c>
      <c r="C470" s="17" t="s">
        <v>42</v>
      </c>
      <c r="D470" s="64" t="s">
        <v>88</v>
      </c>
      <c r="E470" s="9">
        <v>1006.199989</v>
      </c>
      <c r="F470" s="9">
        <v>7</v>
      </c>
      <c r="G470" s="9">
        <v>143.74</v>
      </c>
      <c r="H470" s="9">
        <v>3.8571420000000001</v>
      </c>
      <c r="I470" s="9">
        <v>0</v>
      </c>
      <c r="J470" s="9">
        <v>0</v>
      </c>
      <c r="K470" s="62" t="s">
        <v>44</v>
      </c>
      <c r="L470" s="63" t="str">
        <f t="shared" si="14"/>
        <v>Aug-2017</v>
      </c>
      <c r="M470" s="29">
        <f t="shared" si="15"/>
        <v>42948</v>
      </c>
    </row>
    <row r="471" spans="1:13" ht="21" x14ac:dyDescent="0.35">
      <c r="A471" s="8">
        <v>2017</v>
      </c>
      <c r="B471" s="9">
        <v>8</v>
      </c>
      <c r="C471" s="17" t="s">
        <v>47</v>
      </c>
      <c r="D471" s="64" t="s">
        <v>67</v>
      </c>
      <c r="E471" s="9">
        <v>956.90000150000003</v>
      </c>
      <c r="F471" s="9">
        <v>3</v>
      </c>
      <c r="G471" s="9">
        <v>318.97000000000003</v>
      </c>
      <c r="H471" s="9">
        <v>4</v>
      </c>
      <c r="I471" s="9">
        <v>0</v>
      </c>
      <c r="J471" s="9">
        <v>0</v>
      </c>
      <c r="K471" s="62" t="s">
        <v>44</v>
      </c>
      <c r="L471" s="63" t="str">
        <f t="shared" si="14"/>
        <v>Aug-2017</v>
      </c>
      <c r="M471" s="29">
        <f t="shared" si="15"/>
        <v>42948</v>
      </c>
    </row>
    <row r="472" spans="1:13" ht="21" x14ac:dyDescent="0.35">
      <c r="A472" s="8">
        <v>2017</v>
      </c>
      <c r="B472" s="9">
        <v>8</v>
      </c>
      <c r="C472" s="17" t="s">
        <v>125</v>
      </c>
      <c r="D472" s="64" t="s">
        <v>89</v>
      </c>
      <c r="E472" s="9">
        <v>618</v>
      </c>
      <c r="F472" s="9">
        <v>3</v>
      </c>
      <c r="G472" s="9">
        <v>206</v>
      </c>
      <c r="H472" s="9">
        <v>4.6666660000000002</v>
      </c>
      <c r="I472" s="9">
        <v>0</v>
      </c>
      <c r="J472" s="9">
        <v>0</v>
      </c>
      <c r="K472" s="62" t="s">
        <v>44</v>
      </c>
      <c r="L472" s="63" t="str">
        <f t="shared" si="14"/>
        <v>Aug-2017</v>
      </c>
      <c r="M472" s="29">
        <f t="shared" si="15"/>
        <v>42948</v>
      </c>
    </row>
    <row r="473" spans="1:13" ht="21" x14ac:dyDescent="0.35">
      <c r="A473" s="8">
        <v>2017</v>
      </c>
      <c r="B473" s="9">
        <v>8</v>
      </c>
      <c r="C473" s="17" t="s">
        <v>76</v>
      </c>
      <c r="D473" s="64" t="s">
        <v>121</v>
      </c>
      <c r="E473" s="9">
        <v>589</v>
      </c>
      <c r="F473" s="9">
        <v>2</v>
      </c>
      <c r="G473" s="9">
        <v>294.5</v>
      </c>
      <c r="H473" s="9">
        <v>5</v>
      </c>
      <c r="I473" s="9">
        <v>0</v>
      </c>
      <c r="J473" s="9">
        <v>0</v>
      </c>
      <c r="K473" s="62" t="s">
        <v>44</v>
      </c>
      <c r="L473" s="63" t="str">
        <f t="shared" si="14"/>
        <v>Aug-2017</v>
      </c>
      <c r="M473" s="29">
        <f t="shared" si="15"/>
        <v>42948</v>
      </c>
    </row>
    <row r="474" spans="1:13" ht="21" x14ac:dyDescent="0.35">
      <c r="A474" s="8">
        <v>2017</v>
      </c>
      <c r="B474" s="9">
        <v>8</v>
      </c>
      <c r="C474" s="17" t="s">
        <v>77</v>
      </c>
      <c r="D474" s="64" t="s">
        <v>112</v>
      </c>
      <c r="E474" s="9">
        <v>509.38999180000002</v>
      </c>
      <c r="F474" s="9">
        <v>2</v>
      </c>
      <c r="G474" s="9">
        <v>254.69</v>
      </c>
      <c r="H474" s="9">
        <v>4.5</v>
      </c>
      <c r="I474" s="9">
        <v>0</v>
      </c>
      <c r="J474" s="9">
        <v>0</v>
      </c>
      <c r="K474" s="62" t="s">
        <v>44</v>
      </c>
      <c r="L474" s="63" t="str">
        <f t="shared" si="14"/>
        <v>Aug-2017</v>
      </c>
      <c r="M474" s="29">
        <f t="shared" si="15"/>
        <v>42948</v>
      </c>
    </row>
    <row r="475" spans="1:13" ht="21" x14ac:dyDescent="0.35">
      <c r="A475" s="8">
        <v>2017</v>
      </c>
      <c r="B475" s="9">
        <v>8</v>
      </c>
      <c r="C475" s="17" t="s">
        <v>94</v>
      </c>
      <c r="D475" s="64" t="s">
        <v>106</v>
      </c>
      <c r="E475" s="9">
        <v>494.81001279999998</v>
      </c>
      <c r="F475" s="9">
        <v>12</v>
      </c>
      <c r="G475" s="9">
        <v>41.23</v>
      </c>
      <c r="H475" s="9">
        <v>4.625</v>
      </c>
      <c r="I475" s="9">
        <v>0</v>
      </c>
      <c r="J475" s="9">
        <v>0</v>
      </c>
      <c r="K475" s="62" t="s">
        <v>44</v>
      </c>
      <c r="L475" s="63" t="str">
        <f t="shared" si="14"/>
        <v>Aug-2017</v>
      </c>
      <c r="M475" s="29">
        <f t="shared" si="15"/>
        <v>42948</v>
      </c>
    </row>
    <row r="476" spans="1:13" ht="21" x14ac:dyDescent="0.35">
      <c r="A476" s="8">
        <v>2017</v>
      </c>
      <c r="B476" s="9">
        <v>8</v>
      </c>
      <c r="C476" s="17" t="s">
        <v>103</v>
      </c>
      <c r="D476" s="64" t="s">
        <v>95</v>
      </c>
      <c r="E476" s="9">
        <v>450.88999940000002</v>
      </c>
      <c r="F476" s="9">
        <v>6</v>
      </c>
      <c r="G476" s="9">
        <v>75.150000000000006</v>
      </c>
      <c r="H476" s="9">
        <v>4.1666660000000002</v>
      </c>
      <c r="I476" s="9">
        <v>0</v>
      </c>
      <c r="J476" s="9">
        <v>0</v>
      </c>
      <c r="K476" s="62" t="s">
        <v>44</v>
      </c>
      <c r="L476" s="63" t="str">
        <f t="shared" si="14"/>
        <v>Aug-2017</v>
      </c>
      <c r="M476" s="29">
        <f t="shared" si="15"/>
        <v>42948</v>
      </c>
    </row>
    <row r="477" spans="1:13" ht="21" x14ac:dyDescent="0.35">
      <c r="A477" s="8">
        <v>2017</v>
      </c>
      <c r="B477" s="9">
        <v>8</v>
      </c>
      <c r="C477" s="17" t="s">
        <v>109</v>
      </c>
      <c r="D477" s="64" t="s">
        <v>107</v>
      </c>
      <c r="E477" s="9">
        <v>377.80000109999997</v>
      </c>
      <c r="F477" s="9">
        <v>4</v>
      </c>
      <c r="G477" s="9">
        <v>94.45</v>
      </c>
      <c r="H477" s="9">
        <v>4.25</v>
      </c>
      <c r="I477" s="9">
        <v>0</v>
      </c>
      <c r="J477" s="9">
        <v>0</v>
      </c>
      <c r="K477" s="62" t="s">
        <v>44</v>
      </c>
      <c r="L477" s="63" t="str">
        <f t="shared" si="14"/>
        <v>Aug-2017</v>
      </c>
      <c r="M477" s="29">
        <f t="shared" si="15"/>
        <v>42948</v>
      </c>
    </row>
    <row r="478" spans="1:13" ht="21" x14ac:dyDescent="0.35">
      <c r="A478" s="8">
        <v>2017</v>
      </c>
      <c r="B478" s="9">
        <v>8</v>
      </c>
      <c r="C478" s="17" t="s">
        <v>115</v>
      </c>
      <c r="D478" s="64" t="s">
        <v>72</v>
      </c>
      <c r="E478" s="9">
        <v>364.49999430000003</v>
      </c>
      <c r="F478" s="9">
        <v>8</v>
      </c>
      <c r="G478" s="9">
        <v>45.56</v>
      </c>
      <c r="H478" s="9">
        <v>4.75</v>
      </c>
      <c r="I478" s="9">
        <v>0</v>
      </c>
      <c r="J478" s="9">
        <v>0</v>
      </c>
      <c r="K478" s="62" t="s">
        <v>44</v>
      </c>
      <c r="L478" s="63" t="str">
        <f t="shared" si="14"/>
        <v>Aug-2017</v>
      </c>
      <c r="M478" s="29">
        <f t="shared" si="15"/>
        <v>42948</v>
      </c>
    </row>
    <row r="479" spans="1:13" ht="21" x14ac:dyDescent="0.35">
      <c r="A479" s="8">
        <v>2017</v>
      </c>
      <c r="B479" s="9">
        <v>8</v>
      </c>
      <c r="C479" s="17" t="s">
        <v>118</v>
      </c>
      <c r="D479" s="64" t="s">
        <v>114</v>
      </c>
      <c r="E479" s="9">
        <v>313</v>
      </c>
      <c r="F479" s="9">
        <v>2</v>
      </c>
      <c r="G479" s="9">
        <v>156.5</v>
      </c>
      <c r="H479" s="9">
        <v>5</v>
      </c>
      <c r="I479" s="9">
        <v>0</v>
      </c>
      <c r="J479" s="9">
        <v>0</v>
      </c>
      <c r="K479" s="62" t="s">
        <v>44</v>
      </c>
      <c r="L479" s="63" t="str">
        <f t="shared" si="14"/>
        <v>Aug-2017</v>
      </c>
      <c r="M479" s="29">
        <f t="shared" si="15"/>
        <v>42948</v>
      </c>
    </row>
    <row r="480" spans="1:13" ht="21" x14ac:dyDescent="0.35">
      <c r="A480" s="8">
        <v>2017</v>
      </c>
      <c r="B480" s="9">
        <v>8</v>
      </c>
      <c r="C480" s="17" t="s">
        <v>120</v>
      </c>
      <c r="D480" s="64" t="s">
        <v>108</v>
      </c>
      <c r="E480" s="9">
        <v>265.7999954</v>
      </c>
      <c r="F480" s="9">
        <v>2</v>
      </c>
      <c r="G480" s="9">
        <v>132.9</v>
      </c>
      <c r="H480" s="9">
        <v>3</v>
      </c>
      <c r="I480" s="9">
        <v>0</v>
      </c>
      <c r="J480" s="9">
        <v>0</v>
      </c>
      <c r="K480" s="62" t="s">
        <v>44</v>
      </c>
      <c r="L480" s="63" t="str">
        <f t="shared" si="14"/>
        <v>Aug-2017</v>
      </c>
      <c r="M480" s="29">
        <f t="shared" si="15"/>
        <v>42948</v>
      </c>
    </row>
    <row r="481" spans="1:13" ht="21" x14ac:dyDescent="0.35">
      <c r="A481" s="8">
        <v>2017</v>
      </c>
      <c r="B481" s="9">
        <v>8</v>
      </c>
      <c r="C481" s="17" t="s">
        <v>124</v>
      </c>
      <c r="D481" s="64" t="s">
        <v>105</v>
      </c>
      <c r="E481" s="9">
        <v>244.7000046</v>
      </c>
      <c r="F481" s="9">
        <v>4</v>
      </c>
      <c r="G481" s="9">
        <v>61.18</v>
      </c>
      <c r="H481" s="9">
        <v>4.25</v>
      </c>
      <c r="I481" s="9">
        <v>0</v>
      </c>
      <c r="J481" s="9">
        <v>0</v>
      </c>
      <c r="K481" s="62" t="s">
        <v>44</v>
      </c>
      <c r="L481" s="63" t="str">
        <f t="shared" si="14"/>
        <v>Aug-2017</v>
      </c>
      <c r="M481" s="29">
        <f t="shared" si="15"/>
        <v>42948</v>
      </c>
    </row>
    <row r="482" spans="1:13" ht="21" x14ac:dyDescent="0.35">
      <c r="A482" s="8">
        <v>2017</v>
      </c>
      <c r="B482" s="9">
        <v>8</v>
      </c>
      <c r="C482" s="17" t="s">
        <v>42</v>
      </c>
      <c r="D482" s="64" t="s">
        <v>73</v>
      </c>
      <c r="E482" s="9">
        <v>188.7000027</v>
      </c>
      <c r="F482" s="9">
        <v>4</v>
      </c>
      <c r="G482" s="9">
        <v>47.18</v>
      </c>
      <c r="H482" s="9">
        <v>4.25</v>
      </c>
      <c r="I482" s="9">
        <v>0</v>
      </c>
      <c r="J482" s="9">
        <v>0</v>
      </c>
      <c r="K482" s="62" t="s">
        <v>44</v>
      </c>
      <c r="L482" s="63" t="str">
        <f t="shared" si="14"/>
        <v>Aug-2017</v>
      </c>
      <c r="M482" s="29">
        <f t="shared" si="15"/>
        <v>42948</v>
      </c>
    </row>
    <row r="483" spans="1:13" ht="21" x14ac:dyDescent="0.35">
      <c r="A483" s="8">
        <v>2017</v>
      </c>
      <c r="B483" s="9">
        <v>8</v>
      </c>
      <c r="C483" s="17" t="s">
        <v>47</v>
      </c>
      <c r="D483" s="64" t="s">
        <v>122</v>
      </c>
      <c r="E483" s="9">
        <v>135</v>
      </c>
      <c r="F483" s="9">
        <v>2</v>
      </c>
      <c r="G483" s="9">
        <v>67.5</v>
      </c>
      <c r="H483" s="9">
        <v>5</v>
      </c>
      <c r="I483" s="9">
        <v>0</v>
      </c>
      <c r="J483" s="9">
        <v>0</v>
      </c>
      <c r="K483" s="62" t="s">
        <v>44</v>
      </c>
      <c r="L483" s="63" t="str">
        <f t="shared" si="14"/>
        <v>Aug-2017</v>
      </c>
      <c r="M483" s="29">
        <f t="shared" si="15"/>
        <v>42948</v>
      </c>
    </row>
    <row r="484" spans="1:13" ht="21" x14ac:dyDescent="0.35">
      <c r="A484" s="8">
        <v>2017</v>
      </c>
      <c r="B484" s="9">
        <v>8</v>
      </c>
      <c r="C484" s="17" t="s">
        <v>125</v>
      </c>
      <c r="D484" s="64" t="s">
        <v>97</v>
      </c>
      <c r="E484" s="9">
        <v>124.8000031</v>
      </c>
      <c r="F484" s="9">
        <v>1</v>
      </c>
      <c r="G484" s="9">
        <v>124.8</v>
      </c>
      <c r="H484" s="9">
        <v>5</v>
      </c>
      <c r="I484" s="9">
        <v>0</v>
      </c>
      <c r="J484" s="9">
        <v>0</v>
      </c>
      <c r="K484" s="62" t="s">
        <v>44</v>
      </c>
      <c r="L484" s="63" t="str">
        <f t="shared" si="14"/>
        <v>Aug-2017</v>
      </c>
      <c r="M484" s="29">
        <f t="shared" si="15"/>
        <v>42948</v>
      </c>
    </row>
    <row r="485" spans="1:13" ht="21" x14ac:dyDescent="0.35">
      <c r="A485" s="8">
        <v>2017</v>
      </c>
      <c r="B485" s="9">
        <v>8</v>
      </c>
      <c r="C485" s="17" t="s">
        <v>76</v>
      </c>
      <c r="D485" s="64" t="s">
        <v>104</v>
      </c>
      <c r="E485" s="9">
        <v>119.9000015</v>
      </c>
      <c r="F485" s="9">
        <v>2</v>
      </c>
      <c r="G485" s="9">
        <v>59.95</v>
      </c>
      <c r="H485" s="9">
        <v>5</v>
      </c>
      <c r="I485" s="9">
        <v>0</v>
      </c>
      <c r="J485" s="9">
        <v>0</v>
      </c>
      <c r="K485" s="62" t="s">
        <v>44</v>
      </c>
      <c r="L485" s="63" t="str">
        <f t="shared" si="14"/>
        <v>Aug-2017</v>
      </c>
      <c r="M485" s="29">
        <f t="shared" si="15"/>
        <v>42948</v>
      </c>
    </row>
    <row r="486" spans="1:13" ht="21" x14ac:dyDescent="0.35">
      <c r="A486" s="8">
        <v>2017</v>
      </c>
      <c r="B486" s="9">
        <v>8</v>
      </c>
      <c r="C486" s="17" t="s">
        <v>77</v>
      </c>
      <c r="D486" s="64" t="s">
        <v>92</v>
      </c>
      <c r="E486" s="9">
        <v>113.3999977</v>
      </c>
      <c r="F486" s="9">
        <v>6</v>
      </c>
      <c r="G486" s="9">
        <v>18.899999999999999</v>
      </c>
      <c r="H486" s="9">
        <v>2.8333330000000001</v>
      </c>
      <c r="I486" s="9">
        <v>0</v>
      </c>
      <c r="J486" s="9">
        <v>0</v>
      </c>
      <c r="K486" s="62" t="s">
        <v>44</v>
      </c>
      <c r="L486" s="63" t="str">
        <f t="shared" si="14"/>
        <v>Aug-2017</v>
      </c>
      <c r="M486" s="29">
        <f t="shared" si="15"/>
        <v>42948</v>
      </c>
    </row>
    <row r="487" spans="1:13" ht="21" x14ac:dyDescent="0.35">
      <c r="A487" s="8">
        <v>2017</v>
      </c>
      <c r="B487" s="9">
        <v>8</v>
      </c>
      <c r="C487" s="17" t="s">
        <v>94</v>
      </c>
      <c r="D487" s="64" t="s">
        <v>119</v>
      </c>
      <c r="E487" s="9">
        <v>109.06000330000001</v>
      </c>
      <c r="F487" s="9">
        <v>2</v>
      </c>
      <c r="G487" s="9">
        <v>54.53</v>
      </c>
      <c r="H487" s="9">
        <v>2</v>
      </c>
      <c r="I487" s="9">
        <v>0</v>
      </c>
      <c r="J487" s="9">
        <v>0</v>
      </c>
      <c r="K487" s="62" t="s">
        <v>44</v>
      </c>
      <c r="L487" s="63" t="str">
        <f t="shared" si="14"/>
        <v>Aug-2017</v>
      </c>
      <c r="M487" s="29">
        <f t="shared" si="15"/>
        <v>42948</v>
      </c>
    </row>
    <row r="488" spans="1:13" ht="21" x14ac:dyDescent="0.35">
      <c r="A488" s="8">
        <v>2017</v>
      </c>
      <c r="B488" s="9">
        <v>8</v>
      </c>
      <c r="C488" s="17" t="s">
        <v>103</v>
      </c>
      <c r="D488" s="64" t="s">
        <v>91</v>
      </c>
      <c r="E488" s="9">
        <v>88</v>
      </c>
      <c r="F488" s="9">
        <v>1</v>
      </c>
      <c r="G488" s="9">
        <v>88</v>
      </c>
      <c r="H488" s="9">
        <v>5</v>
      </c>
      <c r="I488" s="9">
        <v>0</v>
      </c>
      <c r="J488" s="9">
        <v>0</v>
      </c>
      <c r="K488" s="62" t="s">
        <v>44</v>
      </c>
      <c r="L488" s="63" t="str">
        <f t="shared" si="14"/>
        <v>Aug-2017</v>
      </c>
      <c r="M488" s="29">
        <f t="shared" si="15"/>
        <v>42948</v>
      </c>
    </row>
    <row r="489" spans="1:13" ht="21" x14ac:dyDescent="0.35">
      <c r="A489" s="8">
        <v>2017</v>
      </c>
      <c r="B489" s="9">
        <v>8</v>
      </c>
      <c r="C489" s="17" t="s">
        <v>109</v>
      </c>
      <c r="D489" s="64" t="s">
        <v>101</v>
      </c>
      <c r="E489" s="9">
        <v>61</v>
      </c>
      <c r="F489" s="9">
        <v>1</v>
      </c>
      <c r="G489" s="9">
        <v>61</v>
      </c>
      <c r="H489" s="9">
        <v>5</v>
      </c>
      <c r="I489" s="9">
        <v>0</v>
      </c>
      <c r="J489" s="9">
        <v>0</v>
      </c>
      <c r="K489" s="62" t="s">
        <v>44</v>
      </c>
      <c r="L489" s="63" t="str">
        <f t="shared" si="14"/>
        <v>Aug-2017</v>
      </c>
      <c r="M489" s="29">
        <f t="shared" si="15"/>
        <v>42948</v>
      </c>
    </row>
    <row r="490" spans="1:13" ht="21" x14ac:dyDescent="0.35">
      <c r="A490" s="8">
        <v>2017</v>
      </c>
      <c r="B490" s="9">
        <v>8</v>
      </c>
      <c r="C490" s="17" t="s">
        <v>115</v>
      </c>
      <c r="D490" s="64" t="s">
        <v>113</v>
      </c>
      <c r="E490" s="9">
        <v>58.900001529999997</v>
      </c>
      <c r="F490" s="9">
        <v>1</v>
      </c>
      <c r="G490" s="9">
        <v>58.9</v>
      </c>
      <c r="H490" s="9">
        <v>5</v>
      </c>
      <c r="I490" s="9">
        <v>0</v>
      </c>
      <c r="J490" s="9">
        <v>0</v>
      </c>
      <c r="K490" s="62" t="s">
        <v>44</v>
      </c>
      <c r="L490" s="63" t="str">
        <f t="shared" si="14"/>
        <v>Aug-2017</v>
      </c>
      <c r="M490" s="29">
        <f t="shared" si="15"/>
        <v>42948</v>
      </c>
    </row>
    <row r="491" spans="1:13" ht="21" x14ac:dyDescent="0.35">
      <c r="A491" s="8">
        <v>2017</v>
      </c>
      <c r="B491" s="9">
        <v>8</v>
      </c>
      <c r="C491" s="17" t="s">
        <v>118</v>
      </c>
      <c r="D491" s="64" t="s">
        <v>116</v>
      </c>
      <c r="E491" s="9">
        <v>49.900001529999997</v>
      </c>
      <c r="F491" s="9">
        <v>1</v>
      </c>
      <c r="G491" s="9">
        <v>49.9</v>
      </c>
      <c r="H491" s="9">
        <v>1</v>
      </c>
      <c r="I491" s="9">
        <v>0</v>
      </c>
      <c r="J491" s="9">
        <v>0</v>
      </c>
      <c r="K491" s="62" t="s">
        <v>44</v>
      </c>
      <c r="L491" s="63" t="str">
        <f t="shared" si="14"/>
        <v>Aug-2017</v>
      </c>
      <c r="M491" s="29">
        <f t="shared" si="15"/>
        <v>42948</v>
      </c>
    </row>
    <row r="492" spans="1:13" ht="21" x14ac:dyDescent="0.35">
      <c r="A492" s="8">
        <v>2017</v>
      </c>
      <c r="B492" s="9">
        <v>8</v>
      </c>
      <c r="C492" s="17" t="s">
        <v>120</v>
      </c>
      <c r="D492" s="64" t="s">
        <v>90</v>
      </c>
      <c r="E492" s="9">
        <v>38.699998860000001</v>
      </c>
      <c r="F492" s="9">
        <v>2</v>
      </c>
      <c r="G492" s="9">
        <v>19.350000000000001</v>
      </c>
      <c r="H492" s="9">
        <v>5</v>
      </c>
      <c r="I492" s="9">
        <v>0</v>
      </c>
      <c r="J492" s="9">
        <v>0</v>
      </c>
      <c r="K492" s="62" t="s">
        <v>44</v>
      </c>
      <c r="L492" s="63" t="str">
        <f t="shared" si="14"/>
        <v>Aug-2017</v>
      </c>
      <c r="M492" s="29">
        <f t="shared" si="15"/>
        <v>42948</v>
      </c>
    </row>
    <row r="493" spans="1:13" ht="21" x14ac:dyDescent="0.35">
      <c r="A493" s="8">
        <v>2017</v>
      </c>
      <c r="B493" s="9">
        <v>8</v>
      </c>
      <c r="C493" s="17" t="s">
        <v>124</v>
      </c>
      <c r="D493" s="64" t="s">
        <v>100</v>
      </c>
      <c r="E493" s="9">
        <v>8.8999996190000008</v>
      </c>
      <c r="F493" s="9">
        <v>1</v>
      </c>
      <c r="G493" s="9">
        <v>8.9</v>
      </c>
      <c r="H493" s="9">
        <v>1</v>
      </c>
      <c r="I493" s="9">
        <v>0</v>
      </c>
      <c r="J493" s="9">
        <v>0</v>
      </c>
      <c r="K493" s="62" t="s">
        <v>44</v>
      </c>
      <c r="L493" s="63" t="str">
        <f t="shared" si="14"/>
        <v>Aug-2017</v>
      </c>
      <c r="M493" s="29">
        <f t="shared" si="15"/>
        <v>42948</v>
      </c>
    </row>
    <row r="494" spans="1:13" ht="21" x14ac:dyDescent="0.35">
      <c r="A494" s="8">
        <v>2017</v>
      </c>
      <c r="B494" s="9">
        <v>9</v>
      </c>
      <c r="C494" s="17" t="s">
        <v>42</v>
      </c>
      <c r="D494" s="64" t="s">
        <v>78</v>
      </c>
      <c r="E494" s="9">
        <v>52878.880129999998</v>
      </c>
      <c r="F494" s="9">
        <v>40</v>
      </c>
      <c r="G494" s="9">
        <v>1321.97</v>
      </c>
      <c r="H494" s="9">
        <v>4.45</v>
      </c>
      <c r="I494" s="9">
        <v>0</v>
      </c>
      <c r="J494" s="9">
        <v>0</v>
      </c>
      <c r="K494" s="62" t="s">
        <v>44</v>
      </c>
      <c r="L494" s="63" t="str">
        <f t="shared" si="14"/>
        <v>Sep-2017</v>
      </c>
      <c r="M494" s="29">
        <f t="shared" si="15"/>
        <v>42979</v>
      </c>
    </row>
    <row r="495" spans="1:13" ht="21" x14ac:dyDescent="0.35">
      <c r="A495" s="8">
        <v>2017</v>
      </c>
      <c r="B495" s="9">
        <v>9</v>
      </c>
      <c r="C495" s="17" t="s">
        <v>47</v>
      </c>
      <c r="D495" s="64" t="s">
        <v>66</v>
      </c>
      <c r="E495" s="9">
        <v>52473.200019999997</v>
      </c>
      <c r="F495" s="9">
        <v>461</v>
      </c>
      <c r="G495" s="9">
        <v>113.82</v>
      </c>
      <c r="H495" s="9">
        <v>4.0637359999999996</v>
      </c>
      <c r="I495" s="9">
        <v>0</v>
      </c>
      <c r="J495" s="9">
        <v>0</v>
      </c>
      <c r="K495" s="62" t="s">
        <v>44</v>
      </c>
      <c r="L495" s="63" t="str">
        <f t="shared" si="14"/>
        <v>Sep-2017</v>
      </c>
      <c r="M495" s="29">
        <f t="shared" si="15"/>
        <v>42979</v>
      </c>
    </row>
    <row r="496" spans="1:13" ht="21" x14ac:dyDescent="0.35">
      <c r="A496" s="8">
        <v>2017</v>
      </c>
      <c r="B496" s="9">
        <v>9</v>
      </c>
      <c r="C496" s="17" t="s">
        <v>125</v>
      </c>
      <c r="D496" s="64" t="s">
        <v>43</v>
      </c>
      <c r="E496" s="9">
        <v>51537.64993</v>
      </c>
      <c r="F496" s="9">
        <v>360</v>
      </c>
      <c r="G496" s="9">
        <v>143.16</v>
      </c>
      <c r="H496" s="9">
        <v>4.2219100000000003</v>
      </c>
      <c r="I496" s="9">
        <v>0</v>
      </c>
      <c r="J496" s="9">
        <v>0</v>
      </c>
      <c r="K496" s="62" t="s">
        <v>44</v>
      </c>
      <c r="L496" s="63" t="str">
        <f t="shared" si="14"/>
        <v>Sep-2017</v>
      </c>
      <c r="M496" s="29">
        <f t="shared" si="15"/>
        <v>42979</v>
      </c>
    </row>
    <row r="497" spans="1:13" ht="21" x14ac:dyDescent="0.35">
      <c r="A497" s="8">
        <v>2017</v>
      </c>
      <c r="B497" s="9">
        <v>9</v>
      </c>
      <c r="C497" s="17" t="s">
        <v>76</v>
      </c>
      <c r="D497" s="64" t="s">
        <v>52</v>
      </c>
      <c r="E497" s="9">
        <v>50167.479959999997</v>
      </c>
      <c r="F497" s="9">
        <v>416</v>
      </c>
      <c r="G497" s="9">
        <v>120.59</v>
      </c>
      <c r="H497" s="9">
        <v>4.3240290000000003</v>
      </c>
      <c r="I497" s="9">
        <v>2</v>
      </c>
      <c r="J497" s="9">
        <v>0.48</v>
      </c>
      <c r="K497" s="62" t="s">
        <v>44</v>
      </c>
      <c r="L497" s="63" t="str">
        <f t="shared" si="14"/>
        <v>Sep-2017</v>
      </c>
      <c r="M497" s="29">
        <f t="shared" si="15"/>
        <v>42979</v>
      </c>
    </row>
    <row r="498" spans="1:13" ht="21" x14ac:dyDescent="0.35">
      <c r="A498" s="8">
        <v>2017</v>
      </c>
      <c r="B498" s="9">
        <v>9</v>
      </c>
      <c r="C498" s="17" t="s">
        <v>77</v>
      </c>
      <c r="D498" s="64" t="s">
        <v>51</v>
      </c>
      <c r="E498" s="9">
        <v>47135.599580000002</v>
      </c>
      <c r="F498" s="9">
        <v>255</v>
      </c>
      <c r="G498" s="9">
        <v>184.85</v>
      </c>
      <c r="H498" s="9">
        <v>4.2857139999999996</v>
      </c>
      <c r="I498" s="9">
        <v>1</v>
      </c>
      <c r="J498" s="9">
        <v>0.39</v>
      </c>
      <c r="K498" s="62" t="s">
        <v>44</v>
      </c>
      <c r="L498" s="63" t="str">
        <f t="shared" si="14"/>
        <v>Sep-2017</v>
      </c>
      <c r="M498" s="29">
        <f t="shared" si="15"/>
        <v>42979</v>
      </c>
    </row>
    <row r="499" spans="1:13" ht="21" x14ac:dyDescent="0.35">
      <c r="A499" s="8">
        <v>2017</v>
      </c>
      <c r="B499" s="9">
        <v>9</v>
      </c>
      <c r="C499" s="17" t="s">
        <v>94</v>
      </c>
      <c r="D499" s="64" t="s">
        <v>62</v>
      </c>
      <c r="E499" s="9">
        <v>38210.33988</v>
      </c>
      <c r="F499" s="9">
        <v>200</v>
      </c>
      <c r="G499" s="9">
        <v>191.05</v>
      </c>
      <c r="H499" s="9">
        <v>4.2055829999999998</v>
      </c>
      <c r="I499" s="9">
        <v>2</v>
      </c>
      <c r="J499" s="9">
        <v>1</v>
      </c>
      <c r="K499" s="62" t="s">
        <v>44</v>
      </c>
      <c r="L499" s="63" t="str">
        <f t="shared" si="14"/>
        <v>Sep-2017</v>
      </c>
      <c r="M499" s="29">
        <f t="shared" si="15"/>
        <v>42979</v>
      </c>
    </row>
    <row r="500" spans="1:13" ht="21" x14ac:dyDescent="0.35">
      <c r="A500" s="8">
        <v>2017</v>
      </c>
      <c r="B500" s="9">
        <v>9</v>
      </c>
      <c r="C500" s="17" t="s">
        <v>103</v>
      </c>
      <c r="D500" s="64" t="s">
        <v>49</v>
      </c>
      <c r="E500" s="9">
        <v>31399.22005</v>
      </c>
      <c r="F500" s="9">
        <v>273</v>
      </c>
      <c r="G500" s="9">
        <v>115.02</v>
      </c>
      <c r="H500" s="9">
        <v>4.2044600000000001</v>
      </c>
      <c r="I500" s="9">
        <v>3</v>
      </c>
      <c r="J500" s="9">
        <v>1.1000000000000001</v>
      </c>
      <c r="K500" s="62" t="s">
        <v>44</v>
      </c>
      <c r="L500" s="63" t="str">
        <f t="shared" si="14"/>
        <v>Sep-2017</v>
      </c>
      <c r="M500" s="29">
        <f t="shared" si="15"/>
        <v>42979</v>
      </c>
    </row>
    <row r="501" spans="1:13" ht="21" x14ac:dyDescent="0.35">
      <c r="A501" s="8">
        <v>2017</v>
      </c>
      <c r="B501" s="9">
        <v>9</v>
      </c>
      <c r="C501" s="17" t="s">
        <v>109</v>
      </c>
      <c r="D501" s="64" t="s">
        <v>45</v>
      </c>
      <c r="E501" s="9">
        <v>30838.690119999999</v>
      </c>
      <c r="F501" s="9">
        <v>275</v>
      </c>
      <c r="G501" s="9">
        <v>112.14</v>
      </c>
      <c r="H501" s="9">
        <v>4.179487</v>
      </c>
      <c r="I501" s="9">
        <v>1</v>
      </c>
      <c r="J501" s="9">
        <v>0.36</v>
      </c>
      <c r="K501" s="62" t="s">
        <v>44</v>
      </c>
      <c r="L501" s="63" t="str">
        <f t="shared" si="14"/>
        <v>Sep-2017</v>
      </c>
      <c r="M501" s="29">
        <f t="shared" si="15"/>
        <v>42979</v>
      </c>
    </row>
    <row r="502" spans="1:13" ht="21" x14ac:dyDescent="0.35">
      <c r="A502" s="8">
        <v>2017</v>
      </c>
      <c r="B502" s="9">
        <v>9</v>
      </c>
      <c r="C502" s="17" t="s">
        <v>115</v>
      </c>
      <c r="D502" s="64" t="s">
        <v>56</v>
      </c>
      <c r="E502" s="9">
        <v>28930.980019999999</v>
      </c>
      <c r="F502" s="9">
        <v>216</v>
      </c>
      <c r="G502" s="9">
        <v>133.94</v>
      </c>
      <c r="H502" s="9">
        <v>4.1712959999999999</v>
      </c>
      <c r="I502" s="9">
        <v>0</v>
      </c>
      <c r="J502" s="9">
        <v>0</v>
      </c>
      <c r="K502" s="62" t="s">
        <v>44</v>
      </c>
      <c r="L502" s="63" t="str">
        <f t="shared" si="14"/>
        <v>Sep-2017</v>
      </c>
      <c r="M502" s="29">
        <f t="shared" si="15"/>
        <v>42979</v>
      </c>
    </row>
    <row r="503" spans="1:13" ht="21" x14ac:dyDescent="0.35">
      <c r="A503" s="8">
        <v>2017</v>
      </c>
      <c r="B503" s="9">
        <v>9</v>
      </c>
      <c r="C503" s="17" t="s">
        <v>118</v>
      </c>
      <c r="D503" s="64" t="s">
        <v>55</v>
      </c>
      <c r="E503" s="9">
        <v>24366.300009999999</v>
      </c>
      <c r="F503" s="9">
        <v>165</v>
      </c>
      <c r="G503" s="9">
        <v>147.66999999999999</v>
      </c>
      <c r="H503" s="9">
        <v>4.1158530000000004</v>
      </c>
      <c r="I503" s="9">
        <v>0</v>
      </c>
      <c r="J503" s="9">
        <v>0</v>
      </c>
      <c r="K503" s="62" t="s">
        <v>44</v>
      </c>
      <c r="L503" s="63" t="str">
        <f t="shared" si="14"/>
        <v>Sep-2017</v>
      </c>
      <c r="M503" s="29">
        <f t="shared" si="15"/>
        <v>42979</v>
      </c>
    </row>
    <row r="504" spans="1:13" ht="21" x14ac:dyDescent="0.35">
      <c r="A504" s="8">
        <v>2017</v>
      </c>
      <c r="B504" s="9">
        <v>9</v>
      </c>
      <c r="C504" s="17" t="s">
        <v>120</v>
      </c>
      <c r="D504" s="64" t="s">
        <v>57</v>
      </c>
      <c r="E504" s="9">
        <v>22507.230169999999</v>
      </c>
      <c r="F504" s="9">
        <v>179</v>
      </c>
      <c r="G504" s="9">
        <v>125.74</v>
      </c>
      <c r="H504" s="9">
        <v>4.3728809999999996</v>
      </c>
      <c r="I504" s="9">
        <v>0</v>
      </c>
      <c r="J504" s="9">
        <v>0</v>
      </c>
      <c r="K504" s="62" t="s">
        <v>44</v>
      </c>
      <c r="L504" s="63" t="str">
        <f t="shared" si="14"/>
        <v>Sep-2017</v>
      </c>
      <c r="M504" s="29">
        <f t="shared" si="15"/>
        <v>42979</v>
      </c>
    </row>
    <row r="505" spans="1:13" ht="21" x14ac:dyDescent="0.35">
      <c r="A505" s="8">
        <v>2017</v>
      </c>
      <c r="B505" s="9">
        <v>9</v>
      </c>
      <c r="C505" s="17" t="s">
        <v>124</v>
      </c>
      <c r="D505" s="64" t="s">
        <v>61</v>
      </c>
      <c r="E505" s="9">
        <v>20313.259989999999</v>
      </c>
      <c r="F505" s="9">
        <v>223</v>
      </c>
      <c r="G505" s="9">
        <v>91.09</v>
      </c>
      <c r="H505" s="9">
        <v>4.22072</v>
      </c>
      <c r="I505" s="9">
        <v>0</v>
      </c>
      <c r="J505" s="9">
        <v>0</v>
      </c>
      <c r="K505" s="62" t="s">
        <v>44</v>
      </c>
      <c r="L505" s="63" t="str">
        <f t="shared" si="14"/>
        <v>Sep-2017</v>
      </c>
      <c r="M505" s="29">
        <f t="shared" si="15"/>
        <v>42979</v>
      </c>
    </row>
    <row r="506" spans="1:13" ht="21" x14ac:dyDescent="0.35">
      <c r="A506" s="8">
        <v>2017</v>
      </c>
      <c r="B506" s="9">
        <v>9</v>
      </c>
      <c r="C506" s="17" t="s">
        <v>42</v>
      </c>
      <c r="D506" s="64" t="s">
        <v>46</v>
      </c>
      <c r="E506" s="9">
        <v>18559.249769999999</v>
      </c>
      <c r="F506" s="9">
        <v>164</v>
      </c>
      <c r="G506" s="9">
        <v>113.17</v>
      </c>
      <c r="H506" s="9">
        <v>4.3558279999999998</v>
      </c>
      <c r="I506" s="9">
        <v>0</v>
      </c>
      <c r="J506" s="9">
        <v>0</v>
      </c>
      <c r="K506" s="62" t="s">
        <v>44</v>
      </c>
      <c r="L506" s="63" t="str">
        <f t="shared" si="14"/>
        <v>Sep-2017</v>
      </c>
      <c r="M506" s="29">
        <f t="shared" si="15"/>
        <v>42979</v>
      </c>
    </row>
    <row r="507" spans="1:13" ht="21" x14ac:dyDescent="0.35">
      <c r="A507" s="8">
        <v>2017</v>
      </c>
      <c r="B507" s="9">
        <v>9</v>
      </c>
      <c r="C507" s="17" t="s">
        <v>47</v>
      </c>
      <c r="D507" s="64" t="s">
        <v>48</v>
      </c>
      <c r="E507" s="9">
        <v>14744.87004</v>
      </c>
      <c r="F507" s="9">
        <v>142</v>
      </c>
      <c r="G507" s="9">
        <v>103.84</v>
      </c>
      <c r="H507" s="9">
        <v>4.1056330000000001</v>
      </c>
      <c r="I507" s="9">
        <v>0</v>
      </c>
      <c r="J507" s="9">
        <v>0</v>
      </c>
      <c r="K507" s="62" t="s">
        <v>44</v>
      </c>
      <c r="L507" s="63" t="str">
        <f t="shared" si="14"/>
        <v>Sep-2017</v>
      </c>
      <c r="M507" s="29">
        <f t="shared" si="15"/>
        <v>42979</v>
      </c>
    </row>
    <row r="508" spans="1:13" ht="21" x14ac:dyDescent="0.35">
      <c r="A508" s="8">
        <v>2017</v>
      </c>
      <c r="B508" s="9">
        <v>9</v>
      </c>
      <c r="C508" s="17" t="s">
        <v>125</v>
      </c>
      <c r="D508" s="64" t="s">
        <v>53</v>
      </c>
      <c r="E508" s="9">
        <v>14544.670029999999</v>
      </c>
      <c r="F508" s="9">
        <v>97</v>
      </c>
      <c r="G508" s="9">
        <v>149.94999999999999</v>
      </c>
      <c r="H508" s="9">
        <v>4.2604160000000002</v>
      </c>
      <c r="I508" s="9">
        <v>0</v>
      </c>
      <c r="J508" s="9">
        <v>0</v>
      </c>
      <c r="K508" s="62" t="s">
        <v>44</v>
      </c>
      <c r="L508" s="63" t="str">
        <f t="shared" si="14"/>
        <v>Sep-2017</v>
      </c>
      <c r="M508" s="29">
        <f t="shared" si="15"/>
        <v>42979</v>
      </c>
    </row>
    <row r="509" spans="1:13" ht="21" x14ac:dyDescent="0.35">
      <c r="A509" s="8">
        <v>2017</v>
      </c>
      <c r="B509" s="9">
        <v>9</v>
      </c>
      <c r="C509" s="17" t="s">
        <v>76</v>
      </c>
      <c r="D509" s="64" t="s">
        <v>63</v>
      </c>
      <c r="E509" s="9">
        <v>13692.91</v>
      </c>
      <c r="F509" s="9">
        <v>6</v>
      </c>
      <c r="G509" s="9">
        <v>2282.15</v>
      </c>
      <c r="H509" s="9">
        <v>3.6666660000000002</v>
      </c>
      <c r="I509" s="9">
        <v>0</v>
      </c>
      <c r="J509" s="9">
        <v>0</v>
      </c>
      <c r="K509" s="62" t="s">
        <v>44</v>
      </c>
      <c r="L509" s="63" t="str">
        <f t="shared" si="14"/>
        <v>Sep-2017</v>
      </c>
      <c r="M509" s="29">
        <f t="shared" si="15"/>
        <v>42979</v>
      </c>
    </row>
    <row r="510" spans="1:13" ht="21" x14ac:dyDescent="0.35">
      <c r="A510" s="8">
        <v>2017</v>
      </c>
      <c r="B510" s="9">
        <v>9</v>
      </c>
      <c r="C510" s="17" t="s">
        <v>77</v>
      </c>
      <c r="D510" s="64" t="s">
        <v>65</v>
      </c>
      <c r="E510" s="9">
        <v>11948.21996</v>
      </c>
      <c r="F510" s="9">
        <v>103</v>
      </c>
      <c r="G510" s="9">
        <v>116</v>
      </c>
      <c r="H510" s="9">
        <v>4.2281550000000001</v>
      </c>
      <c r="I510" s="9">
        <v>0</v>
      </c>
      <c r="J510" s="9">
        <v>0</v>
      </c>
      <c r="K510" s="62" t="s">
        <v>44</v>
      </c>
      <c r="L510" s="63" t="str">
        <f t="shared" si="14"/>
        <v>Sep-2017</v>
      </c>
      <c r="M510" s="29">
        <f t="shared" si="15"/>
        <v>42979</v>
      </c>
    </row>
    <row r="511" spans="1:13" ht="21" x14ac:dyDescent="0.35">
      <c r="A511" s="8">
        <v>2017</v>
      </c>
      <c r="B511" s="9">
        <v>9</v>
      </c>
      <c r="C511" s="17" t="s">
        <v>94</v>
      </c>
      <c r="D511" s="64" t="s">
        <v>80</v>
      </c>
      <c r="E511" s="9">
        <v>10965.62995</v>
      </c>
      <c r="F511" s="9">
        <v>32</v>
      </c>
      <c r="G511" s="9">
        <v>342.68</v>
      </c>
      <c r="H511" s="9">
        <v>4.09375</v>
      </c>
      <c r="I511" s="9">
        <v>2</v>
      </c>
      <c r="J511" s="9">
        <v>6.25</v>
      </c>
      <c r="K511" s="62" t="s">
        <v>44</v>
      </c>
      <c r="L511" s="63" t="str">
        <f t="shared" si="14"/>
        <v>Sep-2017</v>
      </c>
      <c r="M511" s="29">
        <f t="shared" si="15"/>
        <v>42979</v>
      </c>
    </row>
    <row r="512" spans="1:13" ht="21" x14ac:dyDescent="0.35">
      <c r="A512" s="8">
        <v>2017</v>
      </c>
      <c r="B512" s="9">
        <v>9</v>
      </c>
      <c r="C512" s="17" t="s">
        <v>103</v>
      </c>
      <c r="D512" s="64" t="s">
        <v>60</v>
      </c>
      <c r="E512" s="9">
        <v>9208.6500090000009</v>
      </c>
      <c r="F512" s="9">
        <v>37</v>
      </c>
      <c r="G512" s="9">
        <v>248.88</v>
      </c>
      <c r="H512" s="9">
        <v>3.8783780000000001</v>
      </c>
      <c r="I512" s="9">
        <v>0</v>
      </c>
      <c r="J512" s="9">
        <v>0</v>
      </c>
      <c r="K512" s="62" t="s">
        <v>44</v>
      </c>
      <c r="L512" s="63" t="str">
        <f t="shared" si="14"/>
        <v>Sep-2017</v>
      </c>
      <c r="M512" s="29">
        <f t="shared" si="15"/>
        <v>42979</v>
      </c>
    </row>
    <row r="513" spans="1:13" ht="21" x14ac:dyDescent="0.35">
      <c r="A513" s="8">
        <v>2017</v>
      </c>
      <c r="B513" s="9">
        <v>9</v>
      </c>
      <c r="C513" s="17" t="s">
        <v>109</v>
      </c>
      <c r="D513" s="64" t="s">
        <v>84</v>
      </c>
      <c r="E513" s="9">
        <v>9034.9699760000003</v>
      </c>
      <c r="F513" s="9">
        <v>24</v>
      </c>
      <c r="G513" s="9">
        <v>376.46</v>
      </c>
      <c r="H513" s="9">
        <v>4.3043469999999999</v>
      </c>
      <c r="I513" s="9">
        <v>0</v>
      </c>
      <c r="J513" s="9">
        <v>0</v>
      </c>
      <c r="K513" s="62" t="s">
        <v>44</v>
      </c>
      <c r="L513" s="63" t="str">
        <f t="shared" si="14"/>
        <v>Sep-2017</v>
      </c>
      <c r="M513" s="29">
        <f t="shared" si="15"/>
        <v>42979</v>
      </c>
    </row>
    <row r="514" spans="1:13" ht="21" x14ac:dyDescent="0.35">
      <c r="A514" s="8">
        <v>2017</v>
      </c>
      <c r="B514" s="9">
        <v>9</v>
      </c>
      <c r="C514" s="17" t="s">
        <v>115</v>
      </c>
      <c r="D514" s="64" t="s">
        <v>50</v>
      </c>
      <c r="E514" s="9">
        <v>8910.3699799999995</v>
      </c>
      <c r="F514" s="9">
        <v>61</v>
      </c>
      <c r="G514" s="9">
        <v>146.07</v>
      </c>
      <c r="H514" s="9">
        <v>4.2459009999999999</v>
      </c>
      <c r="I514" s="9">
        <v>1</v>
      </c>
      <c r="J514" s="9">
        <v>1.64</v>
      </c>
      <c r="K514" s="62" t="s">
        <v>44</v>
      </c>
      <c r="L514" s="63" t="str">
        <f t="shared" ref="L514:L577" si="16">TEXT(DATE(A514,B514,1),"mmm-yyyy")</f>
        <v>Sep-2017</v>
      </c>
      <c r="M514" s="29">
        <f t="shared" ref="M514:M577" si="17">DATE(A514,B514,1)</f>
        <v>42979</v>
      </c>
    </row>
    <row r="515" spans="1:13" ht="21" x14ac:dyDescent="0.35">
      <c r="A515" s="8">
        <v>2017</v>
      </c>
      <c r="B515" s="9">
        <v>9</v>
      </c>
      <c r="C515" s="17" t="s">
        <v>118</v>
      </c>
      <c r="D515" s="64" t="s">
        <v>64</v>
      </c>
      <c r="E515" s="9">
        <v>8534.9199599999993</v>
      </c>
      <c r="F515" s="9">
        <v>62</v>
      </c>
      <c r="G515" s="9">
        <v>137.66</v>
      </c>
      <c r="H515" s="9">
        <v>4.3225800000000003</v>
      </c>
      <c r="I515" s="9">
        <v>0</v>
      </c>
      <c r="J515" s="9">
        <v>0</v>
      </c>
      <c r="K515" s="62" t="s">
        <v>44</v>
      </c>
      <c r="L515" s="63" t="str">
        <f t="shared" si="16"/>
        <v>Sep-2017</v>
      </c>
      <c r="M515" s="29">
        <f t="shared" si="17"/>
        <v>42979</v>
      </c>
    </row>
    <row r="516" spans="1:13" ht="21" x14ac:dyDescent="0.35">
      <c r="A516" s="8">
        <v>2017</v>
      </c>
      <c r="B516" s="9">
        <v>9</v>
      </c>
      <c r="C516" s="17" t="s">
        <v>120</v>
      </c>
      <c r="D516" s="64" t="s">
        <v>81</v>
      </c>
      <c r="E516" s="9">
        <v>6130.4100159999998</v>
      </c>
      <c r="F516" s="9">
        <v>71</v>
      </c>
      <c r="G516" s="9">
        <v>86.34</v>
      </c>
      <c r="H516" s="9">
        <v>4.1549290000000001</v>
      </c>
      <c r="I516" s="9">
        <v>1</v>
      </c>
      <c r="J516" s="9">
        <v>1.41</v>
      </c>
      <c r="K516" s="62" t="s">
        <v>44</v>
      </c>
      <c r="L516" s="63" t="str">
        <f t="shared" si="16"/>
        <v>Sep-2017</v>
      </c>
      <c r="M516" s="29">
        <f t="shared" si="17"/>
        <v>42979</v>
      </c>
    </row>
    <row r="517" spans="1:13" ht="21" x14ac:dyDescent="0.35">
      <c r="A517" s="8">
        <v>2017</v>
      </c>
      <c r="B517" s="9">
        <v>9</v>
      </c>
      <c r="C517" s="17" t="s">
        <v>124</v>
      </c>
      <c r="D517" s="64" t="s">
        <v>0</v>
      </c>
      <c r="E517" s="9">
        <v>5904.1399899999997</v>
      </c>
      <c r="F517" s="9">
        <v>62</v>
      </c>
      <c r="G517" s="9">
        <v>95.23</v>
      </c>
      <c r="H517" s="9" t="s">
        <v>0</v>
      </c>
      <c r="I517" s="9" t="s">
        <v>0</v>
      </c>
      <c r="J517" s="9" t="s">
        <v>0</v>
      </c>
      <c r="K517" s="62" t="s">
        <v>44</v>
      </c>
      <c r="L517" s="63" t="str">
        <f t="shared" si="16"/>
        <v>Sep-2017</v>
      </c>
      <c r="M517" s="29">
        <f t="shared" si="17"/>
        <v>42979</v>
      </c>
    </row>
    <row r="518" spans="1:13" ht="21" x14ac:dyDescent="0.35">
      <c r="A518" s="8">
        <v>2017</v>
      </c>
      <c r="B518" s="9">
        <v>9</v>
      </c>
      <c r="C518" s="17" t="s">
        <v>42</v>
      </c>
      <c r="D518" s="64" t="s">
        <v>99</v>
      </c>
      <c r="E518" s="9">
        <v>4592.3400039999997</v>
      </c>
      <c r="F518" s="9">
        <v>26</v>
      </c>
      <c r="G518" s="9">
        <v>176.63</v>
      </c>
      <c r="H518" s="9">
        <v>4.3846150000000002</v>
      </c>
      <c r="I518" s="9">
        <v>0</v>
      </c>
      <c r="J518" s="9">
        <v>0</v>
      </c>
      <c r="K518" s="62" t="s">
        <v>44</v>
      </c>
      <c r="L518" s="63" t="str">
        <f t="shared" si="16"/>
        <v>Sep-2017</v>
      </c>
      <c r="M518" s="29">
        <f t="shared" si="17"/>
        <v>42979</v>
      </c>
    </row>
    <row r="519" spans="1:13" ht="21" x14ac:dyDescent="0.35">
      <c r="A519" s="8">
        <v>2017</v>
      </c>
      <c r="B519" s="9">
        <v>9</v>
      </c>
      <c r="C519" s="17" t="s">
        <v>47</v>
      </c>
      <c r="D519" s="64" t="s">
        <v>58</v>
      </c>
      <c r="E519" s="9">
        <v>4338.959957</v>
      </c>
      <c r="F519" s="9">
        <v>65</v>
      </c>
      <c r="G519" s="9">
        <v>66.75</v>
      </c>
      <c r="H519" s="9">
        <v>4.15625</v>
      </c>
      <c r="I519" s="9">
        <v>0</v>
      </c>
      <c r="J519" s="9">
        <v>0</v>
      </c>
      <c r="K519" s="62" t="s">
        <v>44</v>
      </c>
      <c r="L519" s="63" t="str">
        <f t="shared" si="16"/>
        <v>Sep-2017</v>
      </c>
      <c r="M519" s="29">
        <f t="shared" si="17"/>
        <v>42979</v>
      </c>
    </row>
    <row r="520" spans="1:13" ht="21" x14ac:dyDescent="0.35">
      <c r="A520" s="8">
        <v>2017</v>
      </c>
      <c r="B520" s="9">
        <v>9</v>
      </c>
      <c r="C520" s="17" t="s">
        <v>125</v>
      </c>
      <c r="D520" s="64" t="s">
        <v>83</v>
      </c>
      <c r="E520" s="9">
        <v>3885.379993</v>
      </c>
      <c r="F520" s="9">
        <v>41</v>
      </c>
      <c r="G520" s="9">
        <v>94.77</v>
      </c>
      <c r="H520" s="9">
        <v>4.560975</v>
      </c>
      <c r="I520" s="9">
        <v>0</v>
      </c>
      <c r="J520" s="9">
        <v>0</v>
      </c>
      <c r="K520" s="62" t="s">
        <v>44</v>
      </c>
      <c r="L520" s="63" t="str">
        <f t="shared" si="16"/>
        <v>Sep-2017</v>
      </c>
      <c r="M520" s="29">
        <f t="shared" si="17"/>
        <v>42979</v>
      </c>
    </row>
    <row r="521" spans="1:13" ht="21" x14ac:dyDescent="0.35">
      <c r="A521" s="8">
        <v>2017</v>
      </c>
      <c r="B521" s="9">
        <v>9</v>
      </c>
      <c r="C521" s="17" t="s">
        <v>76</v>
      </c>
      <c r="D521" s="64" t="s">
        <v>91</v>
      </c>
      <c r="E521" s="9">
        <v>1993.98999</v>
      </c>
      <c r="F521" s="9">
        <v>3</v>
      </c>
      <c r="G521" s="9">
        <v>664.66</v>
      </c>
      <c r="H521" s="9">
        <v>3</v>
      </c>
      <c r="I521" s="9">
        <v>0</v>
      </c>
      <c r="J521" s="9">
        <v>0</v>
      </c>
      <c r="K521" s="62" t="s">
        <v>44</v>
      </c>
      <c r="L521" s="63" t="str">
        <f t="shared" si="16"/>
        <v>Sep-2017</v>
      </c>
      <c r="M521" s="29">
        <f t="shared" si="17"/>
        <v>42979</v>
      </c>
    </row>
    <row r="522" spans="1:13" ht="21" x14ac:dyDescent="0.35">
      <c r="A522" s="8">
        <v>2017</v>
      </c>
      <c r="B522" s="9">
        <v>9</v>
      </c>
      <c r="C522" s="17" t="s">
        <v>77</v>
      </c>
      <c r="D522" s="64" t="s">
        <v>96</v>
      </c>
      <c r="E522" s="9">
        <v>1820.1900009999999</v>
      </c>
      <c r="F522" s="9">
        <v>10</v>
      </c>
      <c r="G522" s="9">
        <v>182.02</v>
      </c>
      <c r="H522" s="9">
        <v>4.4000000000000004</v>
      </c>
      <c r="I522" s="9">
        <v>0</v>
      </c>
      <c r="J522" s="9">
        <v>0</v>
      </c>
      <c r="K522" s="62" t="s">
        <v>44</v>
      </c>
      <c r="L522" s="63" t="str">
        <f t="shared" si="16"/>
        <v>Sep-2017</v>
      </c>
      <c r="M522" s="29">
        <f t="shared" si="17"/>
        <v>42979</v>
      </c>
    </row>
    <row r="523" spans="1:13" ht="21" x14ac:dyDescent="0.35">
      <c r="A523" s="8">
        <v>2017</v>
      </c>
      <c r="B523" s="9">
        <v>9</v>
      </c>
      <c r="C523" s="17" t="s">
        <v>94</v>
      </c>
      <c r="D523" s="64" t="s">
        <v>87</v>
      </c>
      <c r="E523" s="9">
        <v>1789.70002</v>
      </c>
      <c r="F523" s="9">
        <v>16</v>
      </c>
      <c r="G523" s="9">
        <v>111.86</v>
      </c>
      <c r="H523" s="9">
        <v>4.125</v>
      </c>
      <c r="I523" s="9">
        <v>0</v>
      </c>
      <c r="J523" s="9">
        <v>0</v>
      </c>
      <c r="K523" s="62" t="s">
        <v>44</v>
      </c>
      <c r="L523" s="63" t="str">
        <f t="shared" si="16"/>
        <v>Sep-2017</v>
      </c>
      <c r="M523" s="29">
        <f t="shared" si="17"/>
        <v>42979</v>
      </c>
    </row>
    <row r="524" spans="1:13" ht="21" x14ac:dyDescent="0.35">
      <c r="A524" s="8">
        <v>2017</v>
      </c>
      <c r="B524" s="9">
        <v>9</v>
      </c>
      <c r="C524" s="17" t="s">
        <v>103</v>
      </c>
      <c r="D524" s="64" t="s">
        <v>54</v>
      </c>
      <c r="E524" s="9">
        <v>1731.04998</v>
      </c>
      <c r="F524" s="9">
        <v>8</v>
      </c>
      <c r="G524" s="9">
        <v>216.38</v>
      </c>
      <c r="H524" s="9">
        <v>4</v>
      </c>
      <c r="I524" s="9">
        <v>1</v>
      </c>
      <c r="J524" s="9">
        <v>12.5</v>
      </c>
      <c r="K524" s="62" t="s">
        <v>44</v>
      </c>
      <c r="L524" s="63" t="str">
        <f t="shared" si="16"/>
        <v>Sep-2017</v>
      </c>
      <c r="M524" s="29">
        <f t="shared" si="17"/>
        <v>42979</v>
      </c>
    </row>
    <row r="525" spans="1:13" ht="21" x14ac:dyDescent="0.35">
      <c r="A525" s="8">
        <v>2017</v>
      </c>
      <c r="B525" s="9">
        <v>9</v>
      </c>
      <c r="C525" s="17" t="s">
        <v>109</v>
      </c>
      <c r="D525" s="64" t="s">
        <v>79</v>
      </c>
      <c r="E525" s="9">
        <v>1627.799988</v>
      </c>
      <c r="F525" s="9">
        <v>6</v>
      </c>
      <c r="G525" s="9">
        <v>271.3</v>
      </c>
      <c r="H525" s="9">
        <v>4.6666660000000002</v>
      </c>
      <c r="I525" s="9">
        <v>0</v>
      </c>
      <c r="J525" s="9">
        <v>0</v>
      </c>
      <c r="K525" s="62" t="s">
        <v>44</v>
      </c>
      <c r="L525" s="63" t="str">
        <f t="shared" si="16"/>
        <v>Sep-2017</v>
      </c>
      <c r="M525" s="29">
        <f t="shared" si="17"/>
        <v>42979</v>
      </c>
    </row>
    <row r="526" spans="1:13" ht="21" x14ac:dyDescent="0.35">
      <c r="A526" s="8">
        <v>2017</v>
      </c>
      <c r="B526" s="9">
        <v>9</v>
      </c>
      <c r="C526" s="17" t="s">
        <v>115</v>
      </c>
      <c r="D526" s="64" t="s">
        <v>97</v>
      </c>
      <c r="E526" s="9">
        <v>1357.8099990000001</v>
      </c>
      <c r="F526" s="9">
        <v>9</v>
      </c>
      <c r="G526" s="9">
        <v>150.87</v>
      </c>
      <c r="H526" s="9">
        <v>4</v>
      </c>
      <c r="I526" s="9">
        <v>0</v>
      </c>
      <c r="J526" s="9">
        <v>0</v>
      </c>
      <c r="K526" s="62" t="s">
        <v>44</v>
      </c>
      <c r="L526" s="63" t="str">
        <f t="shared" si="16"/>
        <v>Sep-2017</v>
      </c>
      <c r="M526" s="29">
        <f t="shared" si="17"/>
        <v>42979</v>
      </c>
    </row>
    <row r="527" spans="1:13" ht="21" x14ac:dyDescent="0.35">
      <c r="A527" s="8">
        <v>2017</v>
      </c>
      <c r="B527" s="9">
        <v>9</v>
      </c>
      <c r="C527" s="17" t="s">
        <v>118</v>
      </c>
      <c r="D527" s="64" t="s">
        <v>85</v>
      </c>
      <c r="E527" s="9">
        <v>1289.1999860000001</v>
      </c>
      <c r="F527" s="9">
        <v>8</v>
      </c>
      <c r="G527" s="9">
        <v>161.15</v>
      </c>
      <c r="H527" s="9">
        <v>4.125</v>
      </c>
      <c r="I527" s="9">
        <v>0</v>
      </c>
      <c r="J527" s="9">
        <v>0</v>
      </c>
      <c r="K527" s="62" t="s">
        <v>44</v>
      </c>
      <c r="L527" s="63" t="str">
        <f t="shared" si="16"/>
        <v>Sep-2017</v>
      </c>
      <c r="M527" s="29">
        <f t="shared" si="17"/>
        <v>42979</v>
      </c>
    </row>
    <row r="528" spans="1:13" ht="21" x14ac:dyDescent="0.35">
      <c r="A528" s="8">
        <v>2017</v>
      </c>
      <c r="B528" s="9">
        <v>9</v>
      </c>
      <c r="C528" s="17" t="s">
        <v>120</v>
      </c>
      <c r="D528" s="64" t="s">
        <v>82</v>
      </c>
      <c r="E528" s="9">
        <v>1275.870003</v>
      </c>
      <c r="F528" s="9">
        <v>11</v>
      </c>
      <c r="G528" s="9">
        <v>115.99</v>
      </c>
      <c r="H528" s="9">
        <v>4.5454540000000003</v>
      </c>
      <c r="I528" s="9">
        <v>0</v>
      </c>
      <c r="J528" s="9">
        <v>0</v>
      </c>
      <c r="K528" s="62" t="s">
        <v>44</v>
      </c>
      <c r="L528" s="63" t="str">
        <f t="shared" si="16"/>
        <v>Sep-2017</v>
      </c>
      <c r="M528" s="29">
        <f t="shared" si="17"/>
        <v>42979</v>
      </c>
    </row>
    <row r="529" spans="1:13" ht="21" x14ac:dyDescent="0.35">
      <c r="A529" s="8">
        <v>2017</v>
      </c>
      <c r="B529" s="9">
        <v>9</v>
      </c>
      <c r="C529" s="17" t="s">
        <v>124</v>
      </c>
      <c r="D529" s="64" t="s">
        <v>74</v>
      </c>
      <c r="E529" s="9">
        <v>1179.6000019999999</v>
      </c>
      <c r="F529" s="9">
        <v>13</v>
      </c>
      <c r="G529" s="9">
        <v>90.74</v>
      </c>
      <c r="H529" s="9">
        <v>4.0833329999999997</v>
      </c>
      <c r="I529" s="9">
        <v>0</v>
      </c>
      <c r="J529" s="9">
        <v>0</v>
      </c>
      <c r="K529" s="62" t="s">
        <v>44</v>
      </c>
      <c r="L529" s="63" t="str">
        <f t="shared" si="16"/>
        <v>Sep-2017</v>
      </c>
      <c r="M529" s="29">
        <f t="shared" si="17"/>
        <v>42979</v>
      </c>
    </row>
    <row r="530" spans="1:13" ht="21" x14ac:dyDescent="0.35">
      <c r="A530" s="8">
        <v>2017</v>
      </c>
      <c r="B530" s="9">
        <v>9</v>
      </c>
      <c r="C530" s="17" t="s">
        <v>42</v>
      </c>
      <c r="D530" s="64" t="s">
        <v>75</v>
      </c>
      <c r="E530" s="9">
        <v>1177.5000150000001</v>
      </c>
      <c r="F530" s="9">
        <v>10</v>
      </c>
      <c r="G530" s="9">
        <v>117.75</v>
      </c>
      <c r="H530" s="9">
        <v>2.5</v>
      </c>
      <c r="I530" s="9">
        <v>0</v>
      </c>
      <c r="J530" s="9">
        <v>0</v>
      </c>
      <c r="K530" s="62" t="s">
        <v>44</v>
      </c>
      <c r="L530" s="63" t="str">
        <f t="shared" si="16"/>
        <v>Sep-2017</v>
      </c>
      <c r="M530" s="29">
        <f t="shared" si="17"/>
        <v>42979</v>
      </c>
    </row>
    <row r="531" spans="1:13" ht="21" x14ac:dyDescent="0.35">
      <c r="A531" s="8">
        <v>2017</v>
      </c>
      <c r="B531" s="9">
        <v>9</v>
      </c>
      <c r="C531" s="17" t="s">
        <v>47</v>
      </c>
      <c r="D531" s="64" t="s">
        <v>59</v>
      </c>
      <c r="E531" s="9">
        <v>1147.2099929999999</v>
      </c>
      <c r="F531" s="9">
        <v>11</v>
      </c>
      <c r="G531" s="9">
        <v>104.29</v>
      </c>
      <c r="H531" s="9">
        <v>3.818181</v>
      </c>
      <c r="I531" s="9">
        <v>0</v>
      </c>
      <c r="J531" s="9">
        <v>0</v>
      </c>
      <c r="K531" s="62" t="s">
        <v>44</v>
      </c>
      <c r="L531" s="63" t="str">
        <f t="shared" si="16"/>
        <v>Sep-2017</v>
      </c>
      <c r="M531" s="29">
        <f t="shared" si="17"/>
        <v>42979</v>
      </c>
    </row>
    <row r="532" spans="1:13" ht="21" x14ac:dyDescent="0.35">
      <c r="A532" s="8">
        <v>2017</v>
      </c>
      <c r="B532" s="9">
        <v>9</v>
      </c>
      <c r="C532" s="17" t="s">
        <v>125</v>
      </c>
      <c r="D532" s="64" t="s">
        <v>100</v>
      </c>
      <c r="E532" s="9">
        <v>1124.539984</v>
      </c>
      <c r="F532" s="9">
        <v>4</v>
      </c>
      <c r="G532" s="9">
        <v>281.13</v>
      </c>
      <c r="H532" s="9">
        <v>4</v>
      </c>
      <c r="I532" s="9">
        <v>0</v>
      </c>
      <c r="J532" s="9">
        <v>0</v>
      </c>
      <c r="K532" s="62" t="s">
        <v>44</v>
      </c>
      <c r="L532" s="63" t="str">
        <f t="shared" si="16"/>
        <v>Sep-2017</v>
      </c>
      <c r="M532" s="29">
        <f t="shared" si="17"/>
        <v>42979</v>
      </c>
    </row>
    <row r="533" spans="1:13" ht="21" x14ac:dyDescent="0.35">
      <c r="A533" s="8">
        <v>2017</v>
      </c>
      <c r="B533" s="9">
        <v>9</v>
      </c>
      <c r="C533" s="17" t="s">
        <v>76</v>
      </c>
      <c r="D533" s="64" t="s">
        <v>69</v>
      </c>
      <c r="E533" s="9">
        <v>1042.5900019999999</v>
      </c>
      <c r="F533" s="9">
        <v>10</v>
      </c>
      <c r="G533" s="9">
        <v>104.26</v>
      </c>
      <c r="H533" s="9">
        <v>4.0999999999999996</v>
      </c>
      <c r="I533" s="9">
        <v>0</v>
      </c>
      <c r="J533" s="9">
        <v>0</v>
      </c>
      <c r="K533" s="62" t="s">
        <v>44</v>
      </c>
      <c r="L533" s="63" t="str">
        <f t="shared" si="16"/>
        <v>Sep-2017</v>
      </c>
      <c r="M533" s="29">
        <f t="shared" si="17"/>
        <v>42979</v>
      </c>
    </row>
    <row r="534" spans="1:13" ht="21" x14ac:dyDescent="0.35">
      <c r="A534" s="8">
        <v>2017</v>
      </c>
      <c r="B534" s="9">
        <v>9</v>
      </c>
      <c r="C534" s="17" t="s">
        <v>77</v>
      </c>
      <c r="D534" s="64" t="s">
        <v>68</v>
      </c>
      <c r="E534" s="9">
        <v>1001.350006</v>
      </c>
      <c r="F534" s="9">
        <v>8</v>
      </c>
      <c r="G534" s="9">
        <v>125.17</v>
      </c>
      <c r="H534" s="9">
        <v>4.25</v>
      </c>
      <c r="I534" s="9">
        <v>0</v>
      </c>
      <c r="J534" s="9">
        <v>0</v>
      </c>
      <c r="K534" s="62" t="s">
        <v>44</v>
      </c>
      <c r="L534" s="63" t="str">
        <f t="shared" si="16"/>
        <v>Sep-2017</v>
      </c>
      <c r="M534" s="29">
        <f t="shared" si="17"/>
        <v>42979</v>
      </c>
    </row>
    <row r="535" spans="1:13" ht="21" x14ac:dyDescent="0.35">
      <c r="A535" s="8">
        <v>2017</v>
      </c>
      <c r="B535" s="9">
        <v>9</v>
      </c>
      <c r="C535" s="17" t="s">
        <v>94</v>
      </c>
      <c r="D535" s="64" t="s">
        <v>72</v>
      </c>
      <c r="E535" s="9">
        <v>992.91999239999996</v>
      </c>
      <c r="F535" s="9">
        <v>13</v>
      </c>
      <c r="G535" s="9">
        <v>76.38</v>
      </c>
      <c r="H535" s="9">
        <v>4.5384609999999999</v>
      </c>
      <c r="I535" s="9">
        <v>0</v>
      </c>
      <c r="J535" s="9">
        <v>0</v>
      </c>
      <c r="K535" s="62" t="s">
        <v>44</v>
      </c>
      <c r="L535" s="63" t="str">
        <f t="shared" si="16"/>
        <v>Sep-2017</v>
      </c>
      <c r="M535" s="29">
        <f t="shared" si="17"/>
        <v>42979</v>
      </c>
    </row>
    <row r="536" spans="1:13" ht="21" x14ac:dyDescent="0.35">
      <c r="A536" s="8">
        <v>2017</v>
      </c>
      <c r="B536" s="9">
        <v>9</v>
      </c>
      <c r="C536" s="17" t="s">
        <v>103</v>
      </c>
      <c r="D536" s="64" t="s">
        <v>71</v>
      </c>
      <c r="E536" s="9">
        <v>965.13999369999999</v>
      </c>
      <c r="F536" s="9">
        <v>15</v>
      </c>
      <c r="G536" s="9">
        <v>64.34</v>
      </c>
      <c r="H536" s="9">
        <v>4</v>
      </c>
      <c r="I536" s="9">
        <v>0</v>
      </c>
      <c r="J536" s="9">
        <v>0</v>
      </c>
      <c r="K536" s="62" t="s">
        <v>44</v>
      </c>
      <c r="L536" s="63" t="str">
        <f t="shared" si="16"/>
        <v>Sep-2017</v>
      </c>
      <c r="M536" s="29">
        <f t="shared" si="17"/>
        <v>42979</v>
      </c>
    </row>
    <row r="537" spans="1:13" ht="21" x14ac:dyDescent="0.35">
      <c r="A537" s="8">
        <v>2017</v>
      </c>
      <c r="B537" s="9">
        <v>9</v>
      </c>
      <c r="C537" s="17" t="s">
        <v>109</v>
      </c>
      <c r="D537" s="64" t="s">
        <v>110</v>
      </c>
      <c r="E537" s="9">
        <v>916.88999369999999</v>
      </c>
      <c r="F537" s="9">
        <v>3</v>
      </c>
      <c r="G537" s="9">
        <v>305.63</v>
      </c>
      <c r="H537" s="9">
        <v>4.6666660000000002</v>
      </c>
      <c r="I537" s="9">
        <v>0</v>
      </c>
      <c r="J537" s="9">
        <v>0</v>
      </c>
      <c r="K537" s="62" t="s">
        <v>44</v>
      </c>
      <c r="L537" s="63" t="str">
        <f t="shared" si="16"/>
        <v>Sep-2017</v>
      </c>
      <c r="M537" s="29">
        <f t="shared" si="17"/>
        <v>42979</v>
      </c>
    </row>
    <row r="538" spans="1:13" ht="21" x14ac:dyDescent="0.35">
      <c r="A538" s="8">
        <v>2017</v>
      </c>
      <c r="B538" s="9">
        <v>9</v>
      </c>
      <c r="C538" s="17" t="s">
        <v>115</v>
      </c>
      <c r="D538" s="64" t="s">
        <v>89</v>
      </c>
      <c r="E538" s="9">
        <v>709.5999832</v>
      </c>
      <c r="F538" s="9">
        <v>3</v>
      </c>
      <c r="G538" s="9">
        <v>236.53</v>
      </c>
      <c r="H538" s="9">
        <v>5</v>
      </c>
      <c r="I538" s="9">
        <v>0</v>
      </c>
      <c r="J538" s="9">
        <v>0</v>
      </c>
      <c r="K538" s="62" t="s">
        <v>44</v>
      </c>
      <c r="L538" s="63" t="str">
        <f t="shared" si="16"/>
        <v>Sep-2017</v>
      </c>
      <c r="M538" s="29">
        <f t="shared" si="17"/>
        <v>42979</v>
      </c>
    </row>
    <row r="539" spans="1:13" ht="21" x14ac:dyDescent="0.35">
      <c r="A539" s="8">
        <v>2017</v>
      </c>
      <c r="B539" s="9">
        <v>9</v>
      </c>
      <c r="C539" s="17" t="s">
        <v>118</v>
      </c>
      <c r="D539" s="64" t="s">
        <v>119</v>
      </c>
      <c r="E539" s="9">
        <v>640.98999019999997</v>
      </c>
      <c r="F539" s="9">
        <v>1</v>
      </c>
      <c r="G539" s="9">
        <v>640.99</v>
      </c>
      <c r="H539" s="9">
        <v>1</v>
      </c>
      <c r="I539" s="9">
        <v>0</v>
      </c>
      <c r="J539" s="9">
        <v>0</v>
      </c>
      <c r="K539" s="62" t="s">
        <v>44</v>
      </c>
      <c r="L539" s="63" t="str">
        <f t="shared" si="16"/>
        <v>Sep-2017</v>
      </c>
      <c r="M539" s="29">
        <f t="shared" si="17"/>
        <v>42979</v>
      </c>
    </row>
    <row r="540" spans="1:13" ht="21" x14ac:dyDescent="0.35">
      <c r="A540" s="8">
        <v>2017</v>
      </c>
      <c r="B540" s="9">
        <v>9</v>
      </c>
      <c r="C540" s="17" t="s">
        <v>120</v>
      </c>
      <c r="D540" s="64" t="s">
        <v>88</v>
      </c>
      <c r="E540" s="9">
        <v>464.08999249999999</v>
      </c>
      <c r="F540" s="9">
        <v>5</v>
      </c>
      <c r="G540" s="9">
        <v>92.82</v>
      </c>
      <c r="H540" s="9">
        <v>4</v>
      </c>
      <c r="I540" s="9">
        <v>0</v>
      </c>
      <c r="J540" s="9">
        <v>0</v>
      </c>
      <c r="K540" s="62" t="s">
        <v>44</v>
      </c>
      <c r="L540" s="63" t="str">
        <f t="shared" si="16"/>
        <v>Sep-2017</v>
      </c>
      <c r="M540" s="29">
        <f t="shared" si="17"/>
        <v>42979</v>
      </c>
    </row>
    <row r="541" spans="1:13" ht="21" x14ac:dyDescent="0.35">
      <c r="A541" s="8">
        <v>2017</v>
      </c>
      <c r="B541" s="9">
        <v>9</v>
      </c>
      <c r="C541" s="17" t="s">
        <v>124</v>
      </c>
      <c r="D541" s="64" t="s">
        <v>107</v>
      </c>
      <c r="E541" s="9">
        <v>438.40000149999997</v>
      </c>
      <c r="F541" s="9">
        <v>5</v>
      </c>
      <c r="G541" s="9">
        <v>87.68</v>
      </c>
      <c r="H541" s="9">
        <v>4.4000000000000004</v>
      </c>
      <c r="I541" s="9">
        <v>0</v>
      </c>
      <c r="J541" s="9">
        <v>0</v>
      </c>
      <c r="K541" s="62" t="s">
        <v>44</v>
      </c>
      <c r="L541" s="63" t="str">
        <f t="shared" si="16"/>
        <v>Sep-2017</v>
      </c>
      <c r="M541" s="29">
        <f t="shared" si="17"/>
        <v>42979</v>
      </c>
    </row>
    <row r="542" spans="1:13" ht="21" x14ac:dyDescent="0.35">
      <c r="A542" s="8">
        <v>2017</v>
      </c>
      <c r="B542" s="9">
        <v>9</v>
      </c>
      <c r="C542" s="17" t="s">
        <v>42</v>
      </c>
      <c r="D542" s="64" t="s">
        <v>105</v>
      </c>
      <c r="E542" s="9">
        <v>388.53999329999999</v>
      </c>
      <c r="F542" s="9">
        <v>3</v>
      </c>
      <c r="G542" s="9">
        <v>129.51</v>
      </c>
      <c r="H542" s="9">
        <v>3.3333330000000001</v>
      </c>
      <c r="I542" s="9">
        <v>0</v>
      </c>
      <c r="J542" s="9">
        <v>0</v>
      </c>
      <c r="K542" s="62" t="s">
        <v>44</v>
      </c>
      <c r="L542" s="63" t="str">
        <f t="shared" si="16"/>
        <v>Sep-2017</v>
      </c>
      <c r="M542" s="29">
        <f t="shared" si="17"/>
        <v>42979</v>
      </c>
    </row>
    <row r="543" spans="1:13" ht="21" x14ac:dyDescent="0.35">
      <c r="A543" s="8">
        <v>2017</v>
      </c>
      <c r="B543" s="9">
        <v>9</v>
      </c>
      <c r="C543" s="17" t="s">
        <v>47</v>
      </c>
      <c r="D543" s="64" t="s">
        <v>108</v>
      </c>
      <c r="E543" s="9">
        <v>384.60000609999997</v>
      </c>
      <c r="F543" s="9">
        <v>2</v>
      </c>
      <c r="G543" s="9">
        <v>192.3</v>
      </c>
      <c r="H543" s="9">
        <v>4.5</v>
      </c>
      <c r="I543" s="9">
        <v>0</v>
      </c>
      <c r="J543" s="9">
        <v>0</v>
      </c>
      <c r="K543" s="62" t="s">
        <v>44</v>
      </c>
      <c r="L543" s="63" t="str">
        <f t="shared" si="16"/>
        <v>Sep-2017</v>
      </c>
      <c r="M543" s="29">
        <f t="shared" si="17"/>
        <v>42979</v>
      </c>
    </row>
    <row r="544" spans="1:13" ht="21" x14ac:dyDescent="0.35">
      <c r="A544" s="8">
        <v>2017</v>
      </c>
      <c r="B544" s="9">
        <v>9</v>
      </c>
      <c r="C544" s="17" t="s">
        <v>125</v>
      </c>
      <c r="D544" s="64" t="s">
        <v>73</v>
      </c>
      <c r="E544" s="9">
        <v>355.69999689999997</v>
      </c>
      <c r="F544" s="9">
        <v>3</v>
      </c>
      <c r="G544" s="9">
        <v>118.57</v>
      </c>
      <c r="H544" s="9">
        <v>4</v>
      </c>
      <c r="I544" s="9">
        <v>0</v>
      </c>
      <c r="J544" s="9">
        <v>0</v>
      </c>
      <c r="K544" s="62" t="s">
        <v>44</v>
      </c>
      <c r="L544" s="63" t="str">
        <f t="shared" si="16"/>
        <v>Sep-2017</v>
      </c>
      <c r="M544" s="29">
        <f t="shared" si="17"/>
        <v>42979</v>
      </c>
    </row>
    <row r="545" spans="1:13" ht="21" x14ac:dyDescent="0.35">
      <c r="A545" s="8">
        <v>2017</v>
      </c>
      <c r="B545" s="9">
        <v>9</v>
      </c>
      <c r="C545" s="17" t="s">
        <v>76</v>
      </c>
      <c r="D545" s="64" t="s">
        <v>104</v>
      </c>
      <c r="E545" s="9">
        <v>327.97000120000001</v>
      </c>
      <c r="F545" s="9">
        <v>7</v>
      </c>
      <c r="G545" s="9">
        <v>46.85</v>
      </c>
      <c r="H545" s="9">
        <v>4</v>
      </c>
      <c r="I545" s="9">
        <v>1</v>
      </c>
      <c r="J545" s="9">
        <v>14.29</v>
      </c>
      <c r="K545" s="62" t="s">
        <v>44</v>
      </c>
      <c r="L545" s="63" t="str">
        <f t="shared" si="16"/>
        <v>Sep-2017</v>
      </c>
      <c r="M545" s="29">
        <f t="shared" si="17"/>
        <v>42979</v>
      </c>
    </row>
    <row r="546" spans="1:13" ht="21" x14ac:dyDescent="0.35">
      <c r="A546" s="8">
        <v>2017</v>
      </c>
      <c r="B546" s="9">
        <v>9</v>
      </c>
      <c r="C546" s="17" t="s">
        <v>77</v>
      </c>
      <c r="D546" s="64" t="s">
        <v>106</v>
      </c>
      <c r="E546" s="9">
        <v>310.86000630000001</v>
      </c>
      <c r="F546" s="9">
        <v>6</v>
      </c>
      <c r="G546" s="9">
        <v>51.81</v>
      </c>
      <c r="H546" s="9">
        <v>3.5</v>
      </c>
      <c r="I546" s="9">
        <v>0</v>
      </c>
      <c r="J546" s="9">
        <v>0</v>
      </c>
      <c r="K546" s="62" t="s">
        <v>44</v>
      </c>
      <c r="L546" s="63" t="str">
        <f t="shared" si="16"/>
        <v>Sep-2017</v>
      </c>
      <c r="M546" s="29">
        <f t="shared" si="17"/>
        <v>42979</v>
      </c>
    </row>
    <row r="547" spans="1:13" ht="21" x14ac:dyDescent="0.35">
      <c r="A547" s="8">
        <v>2017</v>
      </c>
      <c r="B547" s="9">
        <v>9</v>
      </c>
      <c r="C547" s="17" t="s">
        <v>94</v>
      </c>
      <c r="D547" s="64" t="s">
        <v>98</v>
      </c>
      <c r="E547" s="9">
        <v>297.5000076</v>
      </c>
      <c r="F547" s="9">
        <v>5</v>
      </c>
      <c r="G547" s="9">
        <v>59.5</v>
      </c>
      <c r="H547" s="9">
        <v>4.2</v>
      </c>
      <c r="I547" s="9">
        <v>0</v>
      </c>
      <c r="J547" s="9">
        <v>0</v>
      </c>
      <c r="K547" s="62" t="s">
        <v>44</v>
      </c>
      <c r="L547" s="63" t="str">
        <f t="shared" si="16"/>
        <v>Sep-2017</v>
      </c>
      <c r="M547" s="29">
        <f t="shared" si="17"/>
        <v>42979</v>
      </c>
    </row>
    <row r="548" spans="1:13" ht="21" x14ac:dyDescent="0.35">
      <c r="A548" s="8">
        <v>2017</v>
      </c>
      <c r="B548" s="9">
        <v>9</v>
      </c>
      <c r="C548" s="17" t="s">
        <v>103</v>
      </c>
      <c r="D548" s="64" t="s">
        <v>101</v>
      </c>
      <c r="E548" s="9">
        <v>290</v>
      </c>
      <c r="F548" s="9">
        <v>3</v>
      </c>
      <c r="G548" s="9">
        <v>96.67</v>
      </c>
      <c r="H548" s="9">
        <v>5</v>
      </c>
      <c r="I548" s="9">
        <v>0</v>
      </c>
      <c r="J548" s="9">
        <v>0</v>
      </c>
      <c r="K548" s="62" t="s">
        <v>44</v>
      </c>
      <c r="L548" s="63" t="str">
        <f t="shared" si="16"/>
        <v>Sep-2017</v>
      </c>
      <c r="M548" s="29">
        <f t="shared" si="17"/>
        <v>42979</v>
      </c>
    </row>
    <row r="549" spans="1:13" ht="21" x14ac:dyDescent="0.35">
      <c r="A549" s="8">
        <v>2017</v>
      </c>
      <c r="B549" s="9">
        <v>9</v>
      </c>
      <c r="C549" s="17" t="s">
        <v>109</v>
      </c>
      <c r="D549" s="64" t="s">
        <v>123</v>
      </c>
      <c r="E549" s="9">
        <v>269.7999878</v>
      </c>
      <c r="F549" s="9">
        <v>1</v>
      </c>
      <c r="G549" s="9">
        <v>269.8</v>
      </c>
      <c r="H549" s="9">
        <v>1</v>
      </c>
      <c r="I549" s="9">
        <v>0</v>
      </c>
      <c r="J549" s="9">
        <v>0</v>
      </c>
      <c r="K549" s="62" t="s">
        <v>44</v>
      </c>
      <c r="L549" s="63" t="str">
        <f t="shared" si="16"/>
        <v>Sep-2017</v>
      </c>
      <c r="M549" s="29">
        <f t="shared" si="17"/>
        <v>42979</v>
      </c>
    </row>
    <row r="550" spans="1:13" ht="21" x14ac:dyDescent="0.35">
      <c r="A550" s="8">
        <v>2017</v>
      </c>
      <c r="B550" s="9">
        <v>9</v>
      </c>
      <c r="C550" s="17" t="s">
        <v>115</v>
      </c>
      <c r="D550" s="64" t="s">
        <v>113</v>
      </c>
      <c r="E550" s="9">
        <v>254.7000046</v>
      </c>
      <c r="F550" s="9">
        <v>3</v>
      </c>
      <c r="G550" s="9">
        <v>84.9</v>
      </c>
      <c r="H550" s="9">
        <v>4.6666660000000002</v>
      </c>
      <c r="I550" s="9">
        <v>0</v>
      </c>
      <c r="J550" s="9">
        <v>0</v>
      </c>
      <c r="K550" s="62" t="s">
        <v>44</v>
      </c>
      <c r="L550" s="63" t="str">
        <f t="shared" si="16"/>
        <v>Sep-2017</v>
      </c>
      <c r="M550" s="29">
        <f t="shared" si="17"/>
        <v>42979</v>
      </c>
    </row>
    <row r="551" spans="1:13" ht="21" x14ac:dyDescent="0.35">
      <c r="A551" s="8">
        <v>2017</v>
      </c>
      <c r="B551" s="9">
        <v>9</v>
      </c>
      <c r="C551" s="17" t="s">
        <v>118</v>
      </c>
      <c r="D551" s="64" t="s">
        <v>95</v>
      </c>
      <c r="E551" s="9">
        <v>233.9000015</v>
      </c>
      <c r="F551" s="9">
        <v>3</v>
      </c>
      <c r="G551" s="9">
        <v>77.97</v>
      </c>
      <c r="H551" s="9">
        <v>3.6666660000000002</v>
      </c>
      <c r="I551" s="9">
        <v>0</v>
      </c>
      <c r="J551" s="9">
        <v>0</v>
      </c>
      <c r="K551" s="62" t="s">
        <v>44</v>
      </c>
      <c r="L551" s="63" t="str">
        <f t="shared" si="16"/>
        <v>Sep-2017</v>
      </c>
      <c r="M551" s="29">
        <f t="shared" si="17"/>
        <v>42979</v>
      </c>
    </row>
    <row r="552" spans="1:13" ht="21" x14ac:dyDescent="0.35">
      <c r="A552" s="8">
        <v>2017</v>
      </c>
      <c r="B552" s="9">
        <v>9</v>
      </c>
      <c r="C552" s="17" t="s">
        <v>120</v>
      </c>
      <c r="D552" s="64" t="s">
        <v>121</v>
      </c>
      <c r="E552" s="9">
        <v>229</v>
      </c>
      <c r="F552" s="9">
        <v>1</v>
      </c>
      <c r="G552" s="9">
        <v>229</v>
      </c>
      <c r="H552" s="9">
        <v>1</v>
      </c>
      <c r="I552" s="9">
        <v>0</v>
      </c>
      <c r="J552" s="9">
        <v>0</v>
      </c>
      <c r="K552" s="62" t="s">
        <v>44</v>
      </c>
      <c r="L552" s="63" t="str">
        <f t="shared" si="16"/>
        <v>Sep-2017</v>
      </c>
      <c r="M552" s="29">
        <f t="shared" si="17"/>
        <v>42979</v>
      </c>
    </row>
    <row r="553" spans="1:13" ht="21" x14ac:dyDescent="0.35">
      <c r="A553" s="8">
        <v>2017</v>
      </c>
      <c r="B553" s="9">
        <v>9</v>
      </c>
      <c r="C553" s="17" t="s">
        <v>124</v>
      </c>
      <c r="D553" s="64" t="s">
        <v>67</v>
      </c>
      <c r="E553" s="9">
        <v>219.97999569999999</v>
      </c>
      <c r="F553" s="9">
        <v>2</v>
      </c>
      <c r="G553" s="9">
        <v>109.99</v>
      </c>
      <c r="H553" s="9">
        <v>5</v>
      </c>
      <c r="I553" s="9">
        <v>0</v>
      </c>
      <c r="J553" s="9">
        <v>0</v>
      </c>
      <c r="K553" s="62" t="s">
        <v>44</v>
      </c>
      <c r="L553" s="63" t="str">
        <f t="shared" si="16"/>
        <v>Sep-2017</v>
      </c>
      <c r="M553" s="29">
        <f t="shared" si="17"/>
        <v>42979</v>
      </c>
    </row>
    <row r="554" spans="1:13" ht="21" x14ac:dyDescent="0.35">
      <c r="A554" s="8">
        <v>2017</v>
      </c>
      <c r="B554" s="9">
        <v>9</v>
      </c>
      <c r="C554" s="17" t="s">
        <v>42</v>
      </c>
      <c r="D554" s="64" t="s">
        <v>86</v>
      </c>
      <c r="E554" s="9">
        <v>100</v>
      </c>
      <c r="F554" s="9">
        <v>1</v>
      </c>
      <c r="G554" s="9">
        <v>100</v>
      </c>
      <c r="H554" s="9">
        <v>1</v>
      </c>
      <c r="I554" s="9">
        <v>0</v>
      </c>
      <c r="J554" s="9">
        <v>0</v>
      </c>
      <c r="K554" s="62" t="s">
        <v>44</v>
      </c>
      <c r="L554" s="63" t="str">
        <f t="shared" si="16"/>
        <v>Sep-2017</v>
      </c>
      <c r="M554" s="29">
        <f t="shared" si="17"/>
        <v>42979</v>
      </c>
    </row>
    <row r="555" spans="1:13" ht="21" x14ac:dyDescent="0.35">
      <c r="A555" s="8">
        <v>2017</v>
      </c>
      <c r="B555" s="9">
        <v>9</v>
      </c>
      <c r="C555" s="17" t="s">
        <v>47</v>
      </c>
      <c r="D555" s="64" t="s">
        <v>116</v>
      </c>
      <c r="E555" s="9">
        <v>89.989997860000003</v>
      </c>
      <c r="F555" s="9">
        <v>1</v>
      </c>
      <c r="G555" s="9">
        <v>89.99</v>
      </c>
      <c r="H555" s="9">
        <v>5</v>
      </c>
      <c r="I555" s="9">
        <v>0</v>
      </c>
      <c r="J555" s="9">
        <v>0</v>
      </c>
      <c r="K555" s="62" t="s">
        <v>44</v>
      </c>
      <c r="L555" s="63" t="str">
        <f t="shared" si="16"/>
        <v>Sep-2017</v>
      </c>
      <c r="M555" s="29">
        <f t="shared" si="17"/>
        <v>42979</v>
      </c>
    </row>
    <row r="556" spans="1:13" ht="21" x14ac:dyDescent="0.35">
      <c r="A556" s="8">
        <v>2017</v>
      </c>
      <c r="B556" s="9">
        <v>9</v>
      </c>
      <c r="C556" s="17" t="s">
        <v>125</v>
      </c>
      <c r="D556" s="64" t="s">
        <v>112</v>
      </c>
      <c r="E556" s="9">
        <v>86.5</v>
      </c>
      <c r="F556" s="9">
        <v>1</v>
      </c>
      <c r="G556" s="9">
        <v>86.5</v>
      </c>
      <c r="H556" s="9">
        <v>5</v>
      </c>
      <c r="I556" s="9">
        <v>0</v>
      </c>
      <c r="J556" s="9">
        <v>0</v>
      </c>
      <c r="K556" s="62" t="s">
        <v>44</v>
      </c>
      <c r="L556" s="63" t="str">
        <f t="shared" si="16"/>
        <v>Sep-2017</v>
      </c>
      <c r="M556" s="29">
        <f t="shared" si="17"/>
        <v>42979</v>
      </c>
    </row>
    <row r="557" spans="1:13" ht="21" x14ac:dyDescent="0.35">
      <c r="A557" s="8">
        <v>2017</v>
      </c>
      <c r="B557" s="9">
        <v>9</v>
      </c>
      <c r="C557" s="17" t="s">
        <v>76</v>
      </c>
      <c r="D557" s="64" t="s">
        <v>102</v>
      </c>
      <c r="E557" s="9">
        <v>69</v>
      </c>
      <c r="F557" s="9">
        <v>1</v>
      </c>
      <c r="G557" s="9">
        <v>69</v>
      </c>
      <c r="H557" s="9">
        <v>5</v>
      </c>
      <c r="I557" s="9">
        <v>0</v>
      </c>
      <c r="J557" s="9">
        <v>0</v>
      </c>
      <c r="K557" s="62" t="s">
        <v>44</v>
      </c>
      <c r="L557" s="63" t="str">
        <f t="shared" si="16"/>
        <v>Sep-2017</v>
      </c>
      <c r="M557" s="29">
        <f t="shared" si="17"/>
        <v>42979</v>
      </c>
    </row>
    <row r="558" spans="1:13" ht="21" x14ac:dyDescent="0.35">
      <c r="A558" s="8">
        <v>2017</v>
      </c>
      <c r="B558" s="9">
        <v>9</v>
      </c>
      <c r="C558" s="17" t="s">
        <v>77</v>
      </c>
      <c r="D558" s="64" t="s">
        <v>92</v>
      </c>
      <c r="E558" s="9">
        <v>39.799999239999998</v>
      </c>
      <c r="F558" s="9">
        <v>2</v>
      </c>
      <c r="G558" s="9">
        <v>19.899999999999999</v>
      </c>
      <c r="H558" s="9">
        <v>4.5</v>
      </c>
      <c r="I558" s="9">
        <v>0</v>
      </c>
      <c r="J558" s="9">
        <v>0</v>
      </c>
      <c r="K558" s="62" t="s">
        <v>44</v>
      </c>
      <c r="L558" s="63" t="str">
        <f t="shared" si="16"/>
        <v>Sep-2017</v>
      </c>
      <c r="M558" s="29">
        <f t="shared" si="17"/>
        <v>42979</v>
      </c>
    </row>
    <row r="559" spans="1:13" ht="21" x14ac:dyDescent="0.35">
      <c r="A559" s="8">
        <v>2017</v>
      </c>
      <c r="B559" s="9">
        <v>9</v>
      </c>
      <c r="C559" s="17" t="s">
        <v>94</v>
      </c>
      <c r="D559" s="64" t="s">
        <v>90</v>
      </c>
      <c r="E559" s="9">
        <v>12.899999619999999</v>
      </c>
      <c r="F559" s="9">
        <v>1</v>
      </c>
      <c r="G559" s="9">
        <v>12.9</v>
      </c>
      <c r="H559" s="9">
        <v>3</v>
      </c>
      <c r="I559" s="9">
        <v>0</v>
      </c>
      <c r="J559" s="9">
        <v>0</v>
      </c>
      <c r="K559" s="62" t="s">
        <v>44</v>
      </c>
      <c r="L559" s="63" t="str">
        <f t="shared" si="16"/>
        <v>Sep-2017</v>
      </c>
      <c r="M559" s="29">
        <f t="shared" si="17"/>
        <v>42979</v>
      </c>
    </row>
    <row r="560" spans="1:13" ht="21" x14ac:dyDescent="0.35">
      <c r="A560" s="8">
        <v>2017</v>
      </c>
      <c r="B560" s="9">
        <v>10</v>
      </c>
      <c r="C560" s="17" t="s">
        <v>103</v>
      </c>
      <c r="D560" s="64" t="s">
        <v>51</v>
      </c>
      <c r="E560" s="9">
        <v>65959.529670000004</v>
      </c>
      <c r="F560" s="9">
        <v>287</v>
      </c>
      <c r="G560" s="9">
        <v>229.82</v>
      </c>
      <c r="H560" s="9">
        <v>4.1052629999999999</v>
      </c>
      <c r="I560" s="9">
        <v>1</v>
      </c>
      <c r="J560" s="9">
        <v>0.35</v>
      </c>
      <c r="K560" s="62" t="s">
        <v>44</v>
      </c>
      <c r="L560" s="63" t="str">
        <f t="shared" si="16"/>
        <v>Oct-2017</v>
      </c>
      <c r="M560" s="29">
        <f t="shared" si="17"/>
        <v>43009</v>
      </c>
    </row>
    <row r="561" spans="1:13" ht="21" x14ac:dyDescent="0.35">
      <c r="A561" s="8">
        <v>2017</v>
      </c>
      <c r="B561" s="9">
        <v>10</v>
      </c>
      <c r="C561" s="17" t="s">
        <v>109</v>
      </c>
      <c r="D561" s="64" t="s">
        <v>52</v>
      </c>
      <c r="E561" s="9">
        <v>49751.449890000004</v>
      </c>
      <c r="F561" s="9">
        <v>424</v>
      </c>
      <c r="G561" s="9">
        <v>117.34</v>
      </c>
      <c r="H561" s="9">
        <v>4.2285709999999996</v>
      </c>
      <c r="I561" s="9">
        <v>1</v>
      </c>
      <c r="J561" s="9">
        <v>0.24</v>
      </c>
      <c r="K561" s="62" t="s">
        <v>44</v>
      </c>
      <c r="L561" s="63" t="str">
        <f t="shared" si="16"/>
        <v>Oct-2017</v>
      </c>
      <c r="M561" s="29">
        <f t="shared" si="17"/>
        <v>43009</v>
      </c>
    </row>
    <row r="562" spans="1:13" ht="21" x14ac:dyDescent="0.35">
      <c r="A562" s="8">
        <v>2017</v>
      </c>
      <c r="B562" s="9">
        <v>10</v>
      </c>
      <c r="C562" s="17" t="s">
        <v>115</v>
      </c>
      <c r="D562" s="64" t="s">
        <v>66</v>
      </c>
      <c r="E562" s="9">
        <v>46198.000079999998</v>
      </c>
      <c r="F562" s="9">
        <v>445</v>
      </c>
      <c r="G562" s="9">
        <v>103.82</v>
      </c>
      <c r="H562" s="9">
        <v>3.9785059999999999</v>
      </c>
      <c r="I562" s="9">
        <v>0</v>
      </c>
      <c r="J562" s="9">
        <v>0</v>
      </c>
      <c r="K562" s="62" t="s">
        <v>44</v>
      </c>
      <c r="L562" s="63" t="str">
        <f t="shared" si="16"/>
        <v>Oct-2017</v>
      </c>
      <c r="M562" s="29">
        <f t="shared" si="17"/>
        <v>43009</v>
      </c>
    </row>
    <row r="563" spans="1:13" ht="21" x14ac:dyDescent="0.35">
      <c r="A563" s="8">
        <v>2017</v>
      </c>
      <c r="B563" s="9">
        <v>10</v>
      </c>
      <c r="C563" s="17" t="s">
        <v>118</v>
      </c>
      <c r="D563" s="64" t="s">
        <v>62</v>
      </c>
      <c r="E563" s="9">
        <v>44910.010040000001</v>
      </c>
      <c r="F563" s="9">
        <v>246</v>
      </c>
      <c r="G563" s="9">
        <v>182.56</v>
      </c>
      <c r="H563" s="9">
        <v>4.2868849999999998</v>
      </c>
      <c r="I563" s="9">
        <v>1</v>
      </c>
      <c r="J563" s="9">
        <v>0.41</v>
      </c>
      <c r="K563" s="62" t="s">
        <v>44</v>
      </c>
      <c r="L563" s="63" t="str">
        <f t="shared" si="16"/>
        <v>Oct-2017</v>
      </c>
      <c r="M563" s="29">
        <f t="shared" si="17"/>
        <v>43009</v>
      </c>
    </row>
    <row r="564" spans="1:13" ht="21" x14ac:dyDescent="0.35">
      <c r="A564" s="8">
        <v>2017</v>
      </c>
      <c r="B564" s="9">
        <v>10</v>
      </c>
      <c r="C564" s="17" t="s">
        <v>120</v>
      </c>
      <c r="D564" s="64" t="s">
        <v>56</v>
      </c>
      <c r="E564" s="9">
        <v>44022.089979999997</v>
      </c>
      <c r="F564" s="9">
        <v>265</v>
      </c>
      <c r="G564" s="9">
        <v>166.12</v>
      </c>
      <c r="H564" s="9">
        <v>4.0608360000000001</v>
      </c>
      <c r="I564" s="9">
        <v>4</v>
      </c>
      <c r="J564" s="9">
        <v>1.51</v>
      </c>
      <c r="K564" s="62" t="s">
        <v>44</v>
      </c>
      <c r="L564" s="63" t="str">
        <f t="shared" si="16"/>
        <v>Oct-2017</v>
      </c>
      <c r="M564" s="29">
        <f t="shared" si="17"/>
        <v>43009</v>
      </c>
    </row>
    <row r="565" spans="1:13" ht="21" x14ac:dyDescent="0.35">
      <c r="A565" s="8">
        <v>2017</v>
      </c>
      <c r="B565" s="9">
        <v>10</v>
      </c>
      <c r="C565" s="17" t="s">
        <v>124</v>
      </c>
      <c r="D565" s="64" t="s">
        <v>43</v>
      </c>
      <c r="E565" s="9">
        <v>41915.72</v>
      </c>
      <c r="F565" s="9">
        <v>332</v>
      </c>
      <c r="G565" s="9">
        <v>126.25</v>
      </c>
      <c r="H565" s="9">
        <v>4.2393929999999997</v>
      </c>
      <c r="I565" s="9">
        <v>1</v>
      </c>
      <c r="J565" s="9">
        <v>0.3</v>
      </c>
      <c r="K565" s="62" t="s">
        <v>44</v>
      </c>
      <c r="L565" s="63" t="str">
        <f t="shared" si="16"/>
        <v>Oct-2017</v>
      </c>
      <c r="M565" s="29">
        <f t="shared" si="17"/>
        <v>43009</v>
      </c>
    </row>
    <row r="566" spans="1:13" ht="21" x14ac:dyDescent="0.35">
      <c r="A566" s="8">
        <v>2017</v>
      </c>
      <c r="B566" s="9">
        <v>10</v>
      </c>
      <c r="C566" s="17" t="s">
        <v>42</v>
      </c>
      <c r="D566" s="64" t="s">
        <v>78</v>
      </c>
      <c r="E566" s="9">
        <v>40393.91992</v>
      </c>
      <c r="F566" s="9">
        <v>26</v>
      </c>
      <c r="G566" s="9">
        <v>1553.61</v>
      </c>
      <c r="H566" s="9">
        <v>4.24</v>
      </c>
      <c r="I566" s="9">
        <v>0</v>
      </c>
      <c r="J566" s="9">
        <v>0</v>
      </c>
      <c r="K566" s="62" t="s">
        <v>44</v>
      </c>
      <c r="L566" s="63" t="str">
        <f t="shared" si="16"/>
        <v>Oct-2017</v>
      </c>
      <c r="M566" s="29">
        <f t="shared" si="17"/>
        <v>43009</v>
      </c>
    </row>
    <row r="567" spans="1:13" ht="21" x14ac:dyDescent="0.35">
      <c r="A567" s="8">
        <v>2017</v>
      </c>
      <c r="B567" s="9">
        <v>10</v>
      </c>
      <c r="C567" s="17" t="s">
        <v>47</v>
      </c>
      <c r="D567" s="64" t="s">
        <v>49</v>
      </c>
      <c r="E567" s="9">
        <v>34633.009879999998</v>
      </c>
      <c r="F567" s="9">
        <v>279</v>
      </c>
      <c r="G567" s="9">
        <v>124.13</v>
      </c>
      <c r="H567" s="9">
        <v>4.227436</v>
      </c>
      <c r="I567" s="9">
        <v>2</v>
      </c>
      <c r="J567" s="9">
        <v>0.72</v>
      </c>
      <c r="K567" s="62" t="s">
        <v>44</v>
      </c>
      <c r="L567" s="63" t="str">
        <f t="shared" si="16"/>
        <v>Oct-2017</v>
      </c>
      <c r="M567" s="29">
        <f t="shared" si="17"/>
        <v>43009</v>
      </c>
    </row>
    <row r="568" spans="1:13" ht="21" x14ac:dyDescent="0.35">
      <c r="A568" s="8">
        <v>2017</v>
      </c>
      <c r="B568" s="9">
        <v>10</v>
      </c>
      <c r="C568" s="17" t="s">
        <v>125</v>
      </c>
      <c r="D568" s="64" t="s">
        <v>45</v>
      </c>
      <c r="E568" s="9">
        <v>30227.510180000001</v>
      </c>
      <c r="F568" s="9">
        <v>270</v>
      </c>
      <c r="G568" s="9">
        <v>111.95</v>
      </c>
      <c r="H568" s="9">
        <v>4.0481480000000003</v>
      </c>
      <c r="I568" s="9">
        <v>1</v>
      </c>
      <c r="J568" s="9">
        <v>0.37</v>
      </c>
      <c r="K568" s="62" t="s">
        <v>44</v>
      </c>
      <c r="L568" s="63" t="str">
        <f t="shared" si="16"/>
        <v>Oct-2017</v>
      </c>
      <c r="M568" s="29">
        <f t="shared" si="17"/>
        <v>43009</v>
      </c>
    </row>
    <row r="569" spans="1:13" ht="21" x14ac:dyDescent="0.35">
      <c r="A569" s="8">
        <v>2017</v>
      </c>
      <c r="B569" s="9">
        <v>10</v>
      </c>
      <c r="C569" s="17" t="s">
        <v>76</v>
      </c>
      <c r="D569" s="64" t="s">
        <v>57</v>
      </c>
      <c r="E569" s="9">
        <v>25978.74022</v>
      </c>
      <c r="F569" s="9">
        <v>214</v>
      </c>
      <c r="G569" s="9">
        <v>121.4</v>
      </c>
      <c r="H569" s="9">
        <v>4.286384</v>
      </c>
      <c r="I569" s="9">
        <v>0</v>
      </c>
      <c r="J569" s="9">
        <v>0</v>
      </c>
      <c r="K569" s="62" t="s">
        <v>44</v>
      </c>
      <c r="L569" s="63" t="str">
        <f t="shared" si="16"/>
        <v>Oct-2017</v>
      </c>
      <c r="M569" s="29">
        <f t="shared" si="17"/>
        <v>43009</v>
      </c>
    </row>
    <row r="570" spans="1:13" ht="21" x14ac:dyDescent="0.35">
      <c r="A570" s="8">
        <v>2017</v>
      </c>
      <c r="B570" s="9">
        <v>10</v>
      </c>
      <c r="C570" s="17" t="s">
        <v>77</v>
      </c>
      <c r="D570" s="64" t="s">
        <v>46</v>
      </c>
      <c r="E570" s="9">
        <v>22850.759959999999</v>
      </c>
      <c r="F570" s="9">
        <v>228</v>
      </c>
      <c r="G570" s="9">
        <v>100.22</v>
      </c>
      <c r="H570" s="9">
        <v>4.1288879999999999</v>
      </c>
      <c r="I570" s="9">
        <v>0</v>
      </c>
      <c r="J570" s="9">
        <v>0</v>
      </c>
      <c r="K570" s="62" t="s">
        <v>44</v>
      </c>
      <c r="L570" s="63" t="str">
        <f t="shared" si="16"/>
        <v>Oct-2017</v>
      </c>
      <c r="M570" s="29">
        <f t="shared" si="17"/>
        <v>43009</v>
      </c>
    </row>
    <row r="571" spans="1:13" ht="21" x14ac:dyDescent="0.35">
      <c r="A571" s="8">
        <v>2017</v>
      </c>
      <c r="B571" s="9">
        <v>10</v>
      </c>
      <c r="C571" s="17" t="s">
        <v>94</v>
      </c>
      <c r="D571" s="64" t="s">
        <v>53</v>
      </c>
      <c r="E571" s="9">
        <v>21505.280009999999</v>
      </c>
      <c r="F571" s="9">
        <v>132</v>
      </c>
      <c r="G571" s="9">
        <v>162.91999999999999</v>
      </c>
      <c r="H571" s="9">
        <v>4.2348480000000004</v>
      </c>
      <c r="I571" s="9">
        <v>1</v>
      </c>
      <c r="J571" s="9">
        <v>0.76</v>
      </c>
      <c r="K571" s="62" t="s">
        <v>44</v>
      </c>
      <c r="L571" s="63" t="str">
        <f t="shared" si="16"/>
        <v>Oct-2017</v>
      </c>
      <c r="M571" s="29">
        <f t="shared" si="17"/>
        <v>43009</v>
      </c>
    </row>
    <row r="572" spans="1:13" ht="21" x14ac:dyDescent="0.35">
      <c r="A572" s="8">
        <v>2017</v>
      </c>
      <c r="B572" s="9">
        <v>10</v>
      </c>
      <c r="C572" s="17" t="s">
        <v>103</v>
      </c>
      <c r="D572" s="64" t="s">
        <v>0</v>
      </c>
      <c r="E572" s="9">
        <v>18800.479879999999</v>
      </c>
      <c r="F572" s="9">
        <v>63</v>
      </c>
      <c r="G572" s="9">
        <v>298.42</v>
      </c>
      <c r="H572" s="9" t="s">
        <v>0</v>
      </c>
      <c r="I572" s="9" t="s">
        <v>0</v>
      </c>
      <c r="J572" s="9" t="s">
        <v>0</v>
      </c>
      <c r="K572" s="62" t="s">
        <v>44</v>
      </c>
      <c r="L572" s="63" t="str">
        <f t="shared" si="16"/>
        <v>Oct-2017</v>
      </c>
      <c r="M572" s="29">
        <f t="shared" si="17"/>
        <v>43009</v>
      </c>
    </row>
    <row r="573" spans="1:13" ht="21" x14ac:dyDescent="0.35">
      <c r="A573" s="8">
        <v>2017</v>
      </c>
      <c r="B573" s="9">
        <v>10</v>
      </c>
      <c r="C573" s="17" t="s">
        <v>109</v>
      </c>
      <c r="D573" s="64" t="s">
        <v>60</v>
      </c>
      <c r="E573" s="9">
        <v>17890.830300000001</v>
      </c>
      <c r="F573" s="9">
        <v>69</v>
      </c>
      <c r="G573" s="9">
        <v>259.29000000000002</v>
      </c>
      <c r="H573" s="9">
        <v>3.4477609999999999</v>
      </c>
      <c r="I573" s="9">
        <v>0</v>
      </c>
      <c r="J573" s="9">
        <v>0</v>
      </c>
      <c r="K573" s="62" t="s">
        <v>44</v>
      </c>
      <c r="L573" s="63" t="str">
        <f t="shared" si="16"/>
        <v>Oct-2017</v>
      </c>
      <c r="M573" s="29">
        <f t="shared" si="17"/>
        <v>43009</v>
      </c>
    </row>
    <row r="574" spans="1:13" ht="21" x14ac:dyDescent="0.35">
      <c r="A574" s="8">
        <v>2017</v>
      </c>
      <c r="B574" s="9">
        <v>10</v>
      </c>
      <c r="C574" s="17" t="s">
        <v>115</v>
      </c>
      <c r="D574" s="64" t="s">
        <v>48</v>
      </c>
      <c r="E574" s="9">
        <v>16984.62</v>
      </c>
      <c r="F574" s="9">
        <v>177</v>
      </c>
      <c r="G574" s="9">
        <v>95.96</v>
      </c>
      <c r="H574" s="9">
        <v>4.3050839999999999</v>
      </c>
      <c r="I574" s="9">
        <v>1</v>
      </c>
      <c r="J574" s="9">
        <v>0.56000000000000005</v>
      </c>
      <c r="K574" s="62" t="s">
        <v>44</v>
      </c>
      <c r="L574" s="63" t="str">
        <f t="shared" si="16"/>
        <v>Oct-2017</v>
      </c>
      <c r="M574" s="29">
        <f t="shared" si="17"/>
        <v>43009</v>
      </c>
    </row>
    <row r="575" spans="1:13" ht="21" x14ac:dyDescent="0.35">
      <c r="A575" s="8">
        <v>2017</v>
      </c>
      <c r="B575" s="9">
        <v>10</v>
      </c>
      <c r="C575" s="17" t="s">
        <v>118</v>
      </c>
      <c r="D575" s="64" t="s">
        <v>55</v>
      </c>
      <c r="E575" s="9">
        <v>16497.500039999999</v>
      </c>
      <c r="F575" s="9">
        <v>134</v>
      </c>
      <c r="G575" s="9">
        <v>123.12</v>
      </c>
      <c r="H575" s="9">
        <v>4.3863630000000002</v>
      </c>
      <c r="I575" s="9">
        <v>0</v>
      </c>
      <c r="J575" s="9">
        <v>0</v>
      </c>
      <c r="K575" s="62" t="s">
        <v>44</v>
      </c>
      <c r="L575" s="63" t="str">
        <f t="shared" si="16"/>
        <v>Oct-2017</v>
      </c>
      <c r="M575" s="29">
        <f t="shared" si="17"/>
        <v>43009</v>
      </c>
    </row>
    <row r="576" spans="1:13" ht="21" x14ac:dyDescent="0.35">
      <c r="A576" s="8">
        <v>2017</v>
      </c>
      <c r="B576" s="9">
        <v>10</v>
      </c>
      <c r="C576" s="17" t="s">
        <v>120</v>
      </c>
      <c r="D576" s="64" t="s">
        <v>61</v>
      </c>
      <c r="E576" s="9">
        <v>15996.63004</v>
      </c>
      <c r="F576" s="9">
        <v>191</v>
      </c>
      <c r="G576" s="9">
        <v>83.75</v>
      </c>
      <c r="H576" s="9">
        <v>4.1693119999999997</v>
      </c>
      <c r="I576" s="9">
        <v>0</v>
      </c>
      <c r="J576" s="9">
        <v>0</v>
      </c>
      <c r="K576" s="62" t="s">
        <v>44</v>
      </c>
      <c r="L576" s="63" t="str">
        <f t="shared" si="16"/>
        <v>Oct-2017</v>
      </c>
      <c r="M576" s="29">
        <f t="shared" si="17"/>
        <v>43009</v>
      </c>
    </row>
    <row r="577" spans="1:13" ht="21" x14ac:dyDescent="0.35">
      <c r="A577" s="8">
        <v>2017</v>
      </c>
      <c r="B577" s="9">
        <v>10</v>
      </c>
      <c r="C577" s="17" t="s">
        <v>124</v>
      </c>
      <c r="D577" s="64" t="s">
        <v>50</v>
      </c>
      <c r="E577" s="9">
        <v>10608.869979999999</v>
      </c>
      <c r="F577" s="9">
        <v>101</v>
      </c>
      <c r="G577" s="9">
        <v>105.04</v>
      </c>
      <c r="H577" s="9">
        <v>4.1089099999999998</v>
      </c>
      <c r="I577" s="9">
        <v>1</v>
      </c>
      <c r="J577" s="9">
        <v>0.99</v>
      </c>
      <c r="K577" s="62" t="s">
        <v>44</v>
      </c>
      <c r="L577" s="63" t="str">
        <f t="shared" si="16"/>
        <v>Oct-2017</v>
      </c>
      <c r="M577" s="29">
        <f t="shared" si="17"/>
        <v>43009</v>
      </c>
    </row>
    <row r="578" spans="1:13" ht="21" x14ac:dyDescent="0.35">
      <c r="A578" s="8">
        <v>2017</v>
      </c>
      <c r="B578" s="9">
        <v>10</v>
      </c>
      <c r="C578" s="17" t="s">
        <v>42</v>
      </c>
      <c r="D578" s="64" t="s">
        <v>81</v>
      </c>
      <c r="E578" s="9">
        <v>8607.8600129999995</v>
      </c>
      <c r="F578" s="9">
        <v>93</v>
      </c>
      <c r="G578" s="9">
        <v>92.56</v>
      </c>
      <c r="H578" s="9">
        <v>3.9462359999999999</v>
      </c>
      <c r="I578" s="9">
        <v>1</v>
      </c>
      <c r="J578" s="9">
        <v>1.08</v>
      </c>
      <c r="K578" s="62" t="s">
        <v>44</v>
      </c>
      <c r="L578" s="63" t="str">
        <f t="shared" ref="L578:L641" si="18">TEXT(DATE(A578,B578,1),"mmm-yyyy")</f>
        <v>Oct-2017</v>
      </c>
      <c r="M578" s="29">
        <f t="shared" ref="M578:M641" si="19">DATE(A578,B578,1)</f>
        <v>43009</v>
      </c>
    </row>
    <row r="579" spans="1:13" ht="21" x14ac:dyDescent="0.35">
      <c r="A579" s="8">
        <v>2017</v>
      </c>
      <c r="B579" s="9">
        <v>10</v>
      </c>
      <c r="C579" s="17" t="s">
        <v>47</v>
      </c>
      <c r="D579" s="64" t="s">
        <v>64</v>
      </c>
      <c r="E579" s="9">
        <v>8243.5799540000007</v>
      </c>
      <c r="F579" s="9">
        <v>64</v>
      </c>
      <c r="G579" s="9">
        <v>128.81</v>
      </c>
      <c r="H579" s="9">
        <v>4.109375</v>
      </c>
      <c r="I579" s="9">
        <v>0</v>
      </c>
      <c r="J579" s="9">
        <v>0</v>
      </c>
      <c r="K579" s="62" t="s">
        <v>44</v>
      </c>
      <c r="L579" s="63" t="str">
        <f t="shared" si="18"/>
        <v>Oct-2017</v>
      </c>
      <c r="M579" s="29">
        <f t="shared" si="19"/>
        <v>43009</v>
      </c>
    </row>
    <row r="580" spans="1:13" ht="21" x14ac:dyDescent="0.35">
      <c r="A580" s="8">
        <v>2017</v>
      </c>
      <c r="B580" s="9">
        <v>10</v>
      </c>
      <c r="C580" s="17" t="s">
        <v>125</v>
      </c>
      <c r="D580" s="64" t="s">
        <v>65</v>
      </c>
      <c r="E580" s="9">
        <v>7906.0600189999996</v>
      </c>
      <c r="F580" s="9">
        <v>95</v>
      </c>
      <c r="G580" s="9">
        <v>83.22</v>
      </c>
      <c r="H580" s="9">
        <v>4.0842099999999997</v>
      </c>
      <c r="I580" s="9">
        <v>1</v>
      </c>
      <c r="J580" s="9">
        <v>1.05</v>
      </c>
      <c r="K580" s="62" t="s">
        <v>44</v>
      </c>
      <c r="L580" s="63" t="str">
        <f t="shared" si="18"/>
        <v>Oct-2017</v>
      </c>
      <c r="M580" s="29">
        <f t="shared" si="19"/>
        <v>43009</v>
      </c>
    </row>
    <row r="581" spans="1:13" ht="21" x14ac:dyDescent="0.35">
      <c r="A581" s="8">
        <v>2017</v>
      </c>
      <c r="B581" s="9">
        <v>10</v>
      </c>
      <c r="C581" s="17" t="s">
        <v>76</v>
      </c>
      <c r="D581" s="64" t="s">
        <v>84</v>
      </c>
      <c r="E581" s="9">
        <v>6859.1600129999997</v>
      </c>
      <c r="F581" s="9">
        <v>22</v>
      </c>
      <c r="G581" s="9">
        <v>311.77999999999997</v>
      </c>
      <c r="H581" s="9">
        <v>4.0909089999999999</v>
      </c>
      <c r="I581" s="9">
        <v>1</v>
      </c>
      <c r="J581" s="9">
        <v>4.55</v>
      </c>
      <c r="K581" s="62" t="s">
        <v>44</v>
      </c>
      <c r="L581" s="63" t="str">
        <f t="shared" si="18"/>
        <v>Oct-2017</v>
      </c>
      <c r="M581" s="29">
        <f t="shared" si="19"/>
        <v>43009</v>
      </c>
    </row>
    <row r="582" spans="1:13" ht="21" x14ac:dyDescent="0.35">
      <c r="A582" s="8">
        <v>2017</v>
      </c>
      <c r="B582" s="9">
        <v>10</v>
      </c>
      <c r="C582" s="17" t="s">
        <v>77</v>
      </c>
      <c r="D582" s="64" t="s">
        <v>80</v>
      </c>
      <c r="E582" s="9">
        <v>6464.849964</v>
      </c>
      <c r="F582" s="9">
        <v>30</v>
      </c>
      <c r="G582" s="9">
        <v>215.49</v>
      </c>
      <c r="H582" s="9">
        <v>4.3928570000000002</v>
      </c>
      <c r="I582" s="9">
        <v>0</v>
      </c>
      <c r="J582" s="9">
        <v>0</v>
      </c>
      <c r="K582" s="62" t="s">
        <v>44</v>
      </c>
      <c r="L582" s="63" t="str">
        <f t="shared" si="18"/>
        <v>Oct-2017</v>
      </c>
      <c r="M582" s="29">
        <f t="shared" si="19"/>
        <v>43009</v>
      </c>
    </row>
    <row r="583" spans="1:13" ht="21" x14ac:dyDescent="0.35">
      <c r="A583" s="8">
        <v>2017</v>
      </c>
      <c r="B583" s="9">
        <v>10</v>
      </c>
      <c r="C583" s="17" t="s">
        <v>94</v>
      </c>
      <c r="D583" s="64" t="s">
        <v>83</v>
      </c>
      <c r="E583" s="9">
        <v>6240.3399890000001</v>
      </c>
      <c r="F583" s="9">
        <v>52</v>
      </c>
      <c r="G583" s="9">
        <v>120.01</v>
      </c>
      <c r="H583" s="9">
        <v>4.4807689999999996</v>
      </c>
      <c r="I583" s="9">
        <v>0</v>
      </c>
      <c r="J583" s="9">
        <v>0</v>
      </c>
      <c r="K583" s="62" t="s">
        <v>44</v>
      </c>
      <c r="L583" s="63" t="str">
        <f t="shared" si="18"/>
        <v>Oct-2017</v>
      </c>
      <c r="M583" s="29">
        <f t="shared" si="19"/>
        <v>43009</v>
      </c>
    </row>
    <row r="584" spans="1:13" ht="21" x14ac:dyDescent="0.35">
      <c r="A584" s="8">
        <v>2017</v>
      </c>
      <c r="B584" s="9">
        <v>10</v>
      </c>
      <c r="C584" s="17" t="s">
        <v>103</v>
      </c>
      <c r="D584" s="64" t="s">
        <v>97</v>
      </c>
      <c r="E584" s="9">
        <v>4201.1700330000003</v>
      </c>
      <c r="F584" s="9">
        <v>15</v>
      </c>
      <c r="G584" s="9">
        <v>280.08</v>
      </c>
      <c r="H584" s="9">
        <v>3.8</v>
      </c>
      <c r="I584" s="9">
        <v>0</v>
      </c>
      <c r="J584" s="9">
        <v>0</v>
      </c>
      <c r="K584" s="62" t="s">
        <v>44</v>
      </c>
      <c r="L584" s="63" t="str">
        <f t="shared" si="18"/>
        <v>Oct-2017</v>
      </c>
      <c r="M584" s="29">
        <f t="shared" si="19"/>
        <v>43009</v>
      </c>
    </row>
    <row r="585" spans="1:13" ht="21" x14ac:dyDescent="0.35">
      <c r="A585" s="8">
        <v>2017</v>
      </c>
      <c r="B585" s="9">
        <v>10</v>
      </c>
      <c r="C585" s="17" t="s">
        <v>109</v>
      </c>
      <c r="D585" s="64" t="s">
        <v>63</v>
      </c>
      <c r="E585" s="9">
        <v>3751.8799819999999</v>
      </c>
      <c r="F585" s="9">
        <v>6</v>
      </c>
      <c r="G585" s="9">
        <v>625.30999999999995</v>
      </c>
      <c r="H585" s="9">
        <v>3.5</v>
      </c>
      <c r="I585" s="9">
        <v>0</v>
      </c>
      <c r="J585" s="9">
        <v>0</v>
      </c>
      <c r="K585" s="62" t="s">
        <v>44</v>
      </c>
      <c r="L585" s="63" t="str">
        <f t="shared" si="18"/>
        <v>Oct-2017</v>
      </c>
      <c r="M585" s="29">
        <f t="shared" si="19"/>
        <v>43009</v>
      </c>
    </row>
    <row r="586" spans="1:13" ht="21" x14ac:dyDescent="0.35">
      <c r="A586" s="8">
        <v>2017</v>
      </c>
      <c r="B586" s="9">
        <v>10</v>
      </c>
      <c r="C586" s="17" t="s">
        <v>115</v>
      </c>
      <c r="D586" s="64" t="s">
        <v>99</v>
      </c>
      <c r="E586" s="9">
        <v>3619.8000080000002</v>
      </c>
      <c r="F586" s="9">
        <v>26</v>
      </c>
      <c r="G586" s="9">
        <v>139.22</v>
      </c>
      <c r="H586" s="9">
        <v>4.0384609999999999</v>
      </c>
      <c r="I586" s="9">
        <v>0</v>
      </c>
      <c r="J586" s="9">
        <v>0</v>
      </c>
      <c r="K586" s="62" t="s">
        <v>44</v>
      </c>
      <c r="L586" s="63" t="str">
        <f t="shared" si="18"/>
        <v>Oct-2017</v>
      </c>
      <c r="M586" s="29">
        <f t="shared" si="19"/>
        <v>43009</v>
      </c>
    </row>
    <row r="587" spans="1:13" ht="21" x14ac:dyDescent="0.35">
      <c r="A587" s="8">
        <v>2017</v>
      </c>
      <c r="B587" s="9">
        <v>10</v>
      </c>
      <c r="C587" s="17" t="s">
        <v>118</v>
      </c>
      <c r="D587" s="64" t="s">
        <v>58</v>
      </c>
      <c r="E587" s="9">
        <v>3454.3200019999999</v>
      </c>
      <c r="F587" s="9">
        <v>56</v>
      </c>
      <c r="G587" s="9">
        <v>61.68</v>
      </c>
      <c r="H587" s="9">
        <v>4.0892850000000003</v>
      </c>
      <c r="I587" s="9">
        <v>0</v>
      </c>
      <c r="J587" s="9">
        <v>0</v>
      </c>
      <c r="K587" s="62" t="s">
        <v>44</v>
      </c>
      <c r="L587" s="63" t="str">
        <f t="shared" si="18"/>
        <v>Oct-2017</v>
      </c>
      <c r="M587" s="29">
        <f t="shared" si="19"/>
        <v>43009</v>
      </c>
    </row>
    <row r="588" spans="1:13" ht="21" x14ac:dyDescent="0.35">
      <c r="A588" s="8">
        <v>2017</v>
      </c>
      <c r="B588" s="9">
        <v>10</v>
      </c>
      <c r="C588" s="17" t="s">
        <v>120</v>
      </c>
      <c r="D588" s="64" t="s">
        <v>88</v>
      </c>
      <c r="E588" s="9">
        <v>3428.5999980000001</v>
      </c>
      <c r="F588" s="9">
        <v>14</v>
      </c>
      <c r="G588" s="9">
        <v>244.9</v>
      </c>
      <c r="H588" s="9">
        <v>3.5384609999999999</v>
      </c>
      <c r="I588" s="9">
        <v>0</v>
      </c>
      <c r="J588" s="9">
        <v>0</v>
      </c>
      <c r="K588" s="62" t="s">
        <v>44</v>
      </c>
      <c r="L588" s="63" t="str">
        <f t="shared" si="18"/>
        <v>Oct-2017</v>
      </c>
      <c r="M588" s="29">
        <f t="shared" si="19"/>
        <v>43009</v>
      </c>
    </row>
    <row r="589" spans="1:13" ht="21" x14ac:dyDescent="0.35">
      <c r="A589" s="8">
        <v>2017</v>
      </c>
      <c r="B589" s="9">
        <v>10</v>
      </c>
      <c r="C589" s="17" t="s">
        <v>124</v>
      </c>
      <c r="D589" s="64" t="s">
        <v>91</v>
      </c>
      <c r="E589" s="9">
        <v>3350.2799799999998</v>
      </c>
      <c r="F589" s="9">
        <v>5</v>
      </c>
      <c r="G589" s="9">
        <v>670.06</v>
      </c>
      <c r="H589" s="9">
        <v>4.2</v>
      </c>
      <c r="I589" s="9">
        <v>0</v>
      </c>
      <c r="J589" s="9">
        <v>0</v>
      </c>
      <c r="K589" s="62" t="s">
        <v>44</v>
      </c>
      <c r="L589" s="63" t="str">
        <f t="shared" si="18"/>
        <v>Oct-2017</v>
      </c>
      <c r="M589" s="29">
        <f t="shared" si="19"/>
        <v>43009</v>
      </c>
    </row>
    <row r="590" spans="1:13" ht="21" x14ac:dyDescent="0.35">
      <c r="A590" s="8">
        <v>2017</v>
      </c>
      <c r="B590" s="9">
        <v>10</v>
      </c>
      <c r="C590" s="17" t="s">
        <v>42</v>
      </c>
      <c r="D590" s="64" t="s">
        <v>79</v>
      </c>
      <c r="E590" s="9">
        <v>2803.170036</v>
      </c>
      <c r="F590" s="9">
        <v>10</v>
      </c>
      <c r="G590" s="9">
        <v>280.32</v>
      </c>
      <c r="H590" s="9">
        <v>3.1</v>
      </c>
      <c r="I590" s="9">
        <v>0</v>
      </c>
      <c r="J590" s="9">
        <v>0</v>
      </c>
      <c r="K590" s="62" t="s">
        <v>44</v>
      </c>
      <c r="L590" s="63" t="str">
        <f t="shared" si="18"/>
        <v>Oct-2017</v>
      </c>
      <c r="M590" s="29">
        <f t="shared" si="19"/>
        <v>43009</v>
      </c>
    </row>
    <row r="591" spans="1:13" ht="21" x14ac:dyDescent="0.35">
      <c r="A591" s="8">
        <v>2017</v>
      </c>
      <c r="B591" s="9">
        <v>10</v>
      </c>
      <c r="C591" s="17" t="s">
        <v>47</v>
      </c>
      <c r="D591" s="64" t="s">
        <v>85</v>
      </c>
      <c r="E591" s="9">
        <v>2576.180014</v>
      </c>
      <c r="F591" s="9">
        <v>15</v>
      </c>
      <c r="G591" s="9">
        <v>171.75</v>
      </c>
      <c r="H591" s="9">
        <v>4.1333330000000004</v>
      </c>
      <c r="I591" s="9">
        <v>0</v>
      </c>
      <c r="J591" s="9">
        <v>0</v>
      </c>
      <c r="K591" s="62" t="s">
        <v>44</v>
      </c>
      <c r="L591" s="63" t="str">
        <f t="shared" si="18"/>
        <v>Oct-2017</v>
      </c>
      <c r="M591" s="29">
        <f t="shared" si="19"/>
        <v>43009</v>
      </c>
    </row>
    <row r="592" spans="1:13" ht="21" x14ac:dyDescent="0.35">
      <c r="A592" s="8">
        <v>2017</v>
      </c>
      <c r="B592" s="9">
        <v>10</v>
      </c>
      <c r="C592" s="17" t="s">
        <v>125</v>
      </c>
      <c r="D592" s="64" t="s">
        <v>54</v>
      </c>
      <c r="E592" s="9">
        <v>2562.4199829999998</v>
      </c>
      <c r="F592" s="9">
        <v>9</v>
      </c>
      <c r="G592" s="9">
        <v>284.70999999999998</v>
      </c>
      <c r="H592" s="9">
        <v>3.8888880000000001</v>
      </c>
      <c r="I592" s="9">
        <v>0</v>
      </c>
      <c r="J592" s="9">
        <v>0</v>
      </c>
      <c r="K592" s="62" t="s">
        <v>44</v>
      </c>
      <c r="L592" s="63" t="str">
        <f t="shared" si="18"/>
        <v>Oct-2017</v>
      </c>
      <c r="M592" s="29">
        <f t="shared" si="19"/>
        <v>43009</v>
      </c>
    </row>
    <row r="593" spans="1:13" ht="21" x14ac:dyDescent="0.35">
      <c r="A593" s="8">
        <v>2017</v>
      </c>
      <c r="B593" s="9">
        <v>10</v>
      </c>
      <c r="C593" s="17" t="s">
        <v>76</v>
      </c>
      <c r="D593" s="64" t="s">
        <v>69</v>
      </c>
      <c r="E593" s="9">
        <v>2348.4799790000002</v>
      </c>
      <c r="F593" s="9">
        <v>32</v>
      </c>
      <c r="G593" s="9">
        <v>73.39</v>
      </c>
      <c r="H593" s="9">
        <v>3.5161289999999998</v>
      </c>
      <c r="I593" s="9">
        <v>1</v>
      </c>
      <c r="J593" s="9">
        <v>3.13</v>
      </c>
      <c r="K593" s="62" t="s">
        <v>44</v>
      </c>
      <c r="L593" s="63" t="str">
        <f t="shared" si="18"/>
        <v>Oct-2017</v>
      </c>
      <c r="M593" s="29">
        <f t="shared" si="19"/>
        <v>43009</v>
      </c>
    </row>
    <row r="594" spans="1:13" ht="21" x14ac:dyDescent="0.35">
      <c r="A594" s="8">
        <v>2017</v>
      </c>
      <c r="B594" s="9">
        <v>10</v>
      </c>
      <c r="C594" s="17" t="s">
        <v>77</v>
      </c>
      <c r="D594" s="64" t="s">
        <v>106</v>
      </c>
      <c r="E594" s="9">
        <v>2297.229977</v>
      </c>
      <c r="F594" s="9">
        <v>15</v>
      </c>
      <c r="G594" s="9">
        <v>153.15</v>
      </c>
      <c r="H594" s="9">
        <v>4.8666660000000004</v>
      </c>
      <c r="I594" s="9">
        <v>0</v>
      </c>
      <c r="J594" s="9">
        <v>0</v>
      </c>
      <c r="K594" s="62" t="s">
        <v>44</v>
      </c>
      <c r="L594" s="63" t="str">
        <f t="shared" si="18"/>
        <v>Oct-2017</v>
      </c>
      <c r="M594" s="29">
        <f t="shared" si="19"/>
        <v>43009</v>
      </c>
    </row>
    <row r="595" spans="1:13" ht="21" x14ac:dyDescent="0.35">
      <c r="A595" s="8">
        <v>2017</v>
      </c>
      <c r="B595" s="9">
        <v>10</v>
      </c>
      <c r="C595" s="17" t="s">
        <v>94</v>
      </c>
      <c r="D595" s="64" t="s">
        <v>67</v>
      </c>
      <c r="E595" s="9">
        <v>2256.689993</v>
      </c>
      <c r="F595" s="9">
        <v>5</v>
      </c>
      <c r="G595" s="9">
        <v>451.34</v>
      </c>
      <c r="H595" s="9">
        <v>4.8</v>
      </c>
      <c r="I595" s="9">
        <v>0</v>
      </c>
      <c r="J595" s="9">
        <v>0</v>
      </c>
      <c r="K595" s="62" t="s">
        <v>44</v>
      </c>
      <c r="L595" s="63" t="str">
        <f t="shared" si="18"/>
        <v>Oct-2017</v>
      </c>
      <c r="M595" s="29">
        <f t="shared" si="19"/>
        <v>43009</v>
      </c>
    </row>
    <row r="596" spans="1:13" ht="21" x14ac:dyDescent="0.35">
      <c r="A596" s="8">
        <v>2017</v>
      </c>
      <c r="B596" s="9">
        <v>10</v>
      </c>
      <c r="C596" s="17" t="s">
        <v>103</v>
      </c>
      <c r="D596" s="64" t="s">
        <v>96</v>
      </c>
      <c r="E596" s="9">
        <v>1951.080017</v>
      </c>
      <c r="F596" s="9">
        <v>8</v>
      </c>
      <c r="G596" s="9">
        <v>243.89</v>
      </c>
      <c r="H596" s="9">
        <v>4.375</v>
      </c>
      <c r="I596" s="9">
        <v>0</v>
      </c>
      <c r="J596" s="9">
        <v>0</v>
      </c>
      <c r="K596" s="62" t="s">
        <v>44</v>
      </c>
      <c r="L596" s="63" t="str">
        <f t="shared" si="18"/>
        <v>Oct-2017</v>
      </c>
      <c r="M596" s="29">
        <f t="shared" si="19"/>
        <v>43009</v>
      </c>
    </row>
    <row r="597" spans="1:13" ht="21" x14ac:dyDescent="0.35">
      <c r="A597" s="8">
        <v>2017</v>
      </c>
      <c r="B597" s="9">
        <v>10</v>
      </c>
      <c r="C597" s="17" t="s">
        <v>109</v>
      </c>
      <c r="D597" s="64" t="s">
        <v>74</v>
      </c>
      <c r="E597" s="9">
        <v>1860.9200040000001</v>
      </c>
      <c r="F597" s="9">
        <v>16</v>
      </c>
      <c r="G597" s="9">
        <v>116.31</v>
      </c>
      <c r="H597" s="9">
        <v>4.1875</v>
      </c>
      <c r="I597" s="9">
        <v>0</v>
      </c>
      <c r="J597" s="9">
        <v>0</v>
      </c>
      <c r="K597" s="62" t="s">
        <v>44</v>
      </c>
      <c r="L597" s="63" t="str">
        <f t="shared" si="18"/>
        <v>Oct-2017</v>
      </c>
      <c r="M597" s="29">
        <f t="shared" si="19"/>
        <v>43009</v>
      </c>
    </row>
    <row r="598" spans="1:13" ht="21" x14ac:dyDescent="0.35">
      <c r="A598" s="8">
        <v>2017</v>
      </c>
      <c r="B598" s="9">
        <v>10</v>
      </c>
      <c r="C598" s="17" t="s">
        <v>115</v>
      </c>
      <c r="D598" s="64" t="s">
        <v>100</v>
      </c>
      <c r="E598" s="9">
        <v>1668.8499810000001</v>
      </c>
      <c r="F598" s="9">
        <v>9</v>
      </c>
      <c r="G598" s="9">
        <v>185.43</v>
      </c>
      <c r="H598" s="9">
        <v>3.8888880000000001</v>
      </c>
      <c r="I598" s="9">
        <v>0</v>
      </c>
      <c r="J598" s="9">
        <v>0</v>
      </c>
      <c r="K598" s="62" t="s">
        <v>44</v>
      </c>
      <c r="L598" s="63" t="str">
        <f t="shared" si="18"/>
        <v>Oct-2017</v>
      </c>
      <c r="M598" s="29">
        <f t="shared" si="19"/>
        <v>43009</v>
      </c>
    </row>
    <row r="599" spans="1:13" ht="21" x14ac:dyDescent="0.35">
      <c r="A599" s="8">
        <v>2017</v>
      </c>
      <c r="B599" s="9">
        <v>10</v>
      </c>
      <c r="C599" s="17" t="s">
        <v>118</v>
      </c>
      <c r="D599" s="64" t="s">
        <v>82</v>
      </c>
      <c r="E599" s="9">
        <v>1532.7899930000001</v>
      </c>
      <c r="F599" s="9">
        <v>13</v>
      </c>
      <c r="G599" s="9">
        <v>117.91</v>
      </c>
      <c r="H599" s="9">
        <v>4.461538</v>
      </c>
      <c r="I599" s="9">
        <v>0</v>
      </c>
      <c r="J599" s="9">
        <v>0</v>
      </c>
      <c r="K599" s="62" t="s">
        <v>44</v>
      </c>
      <c r="L599" s="63" t="str">
        <f t="shared" si="18"/>
        <v>Oct-2017</v>
      </c>
      <c r="M599" s="29">
        <f t="shared" si="19"/>
        <v>43009</v>
      </c>
    </row>
    <row r="600" spans="1:13" ht="21" x14ac:dyDescent="0.35">
      <c r="A600" s="8">
        <v>2017</v>
      </c>
      <c r="B600" s="9">
        <v>10</v>
      </c>
      <c r="C600" s="17" t="s">
        <v>120</v>
      </c>
      <c r="D600" s="64" t="s">
        <v>89</v>
      </c>
      <c r="E600" s="9">
        <v>1193.8999940000001</v>
      </c>
      <c r="F600" s="9">
        <v>4</v>
      </c>
      <c r="G600" s="9">
        <v>298.47000000000003</v>
      </c>
      <c r="H600" s="9">
        <v>4.625</v>
      </c>
      <c r="I600" s="9">
        <v>0</v>
      </c>
      <c r="J600" s="9">
        <v>0</v>
      </c>
      <c r="K600" s="62" t="s">
        <v>44</v>
      </c>
      <c r="L600" s="63" t="str">
        <f t="shared" si="18"/>
        <v>Oct-2017</v>
      </c>
      <c r="M600" s="29">
        <f t="shared" si="19"/>
        <v>43009</v>
      </c>
    </row>
    <row r="601" spans="1:13" ht="21" x14ac:dyDescent="0.35">
      <c r="A601" s="8">
        <v>2017</v>
      </c>
      <c r="B601" s="9">
        <v>10</v>
      </c>
      <c r="C601" s="17" t="s">
        <v>124</v>
      </c>
      <c r="D601" s="64" t="s">
        <v>75</v>
      </c>
      <c r="E601" s="9">
        <v>1041.799988</v>
      </c>
      <c r="F601" s="9">
        <v>9</v>
      </c>
      <c r="G601" s="9">
        <v>115.76</v>
      </c>
      <c r="H601" s="9">
        <v>4.4444439999999998</v>
      </c>
      <c r="I601" s="9">
        <v>0</v>
      </c>
      <c r="J601" s="9">
        <v>0</v>
      </c>
      <c r="K601" s="62" t="s">
        <v>44</v>
      </c>
      <c r="L601" s="63" t="str">
        <f t="shared" si="18"/>
        <v>Oct-2017</v>
      </c>
      <c r="M601" s="29">
        <f t="shared" si="19"/>
        <v>43009</v>
      </c>
    </row>
    <row r="602" spans="1:13" ht="21" x14ac:dyDescent="0.35">
      <c r="A602" s="8">
        <v>2017</v>
      </c>
      <c r="B602" s="9">
        <v>10</v>
      </c>
      <c r="C602" s="17" t="s">
        <v>42</v>
      </c>
      <c r="D602" s="64" t="s">
        <v>59</v>
      </c>
      <c r="E602" s="9">
        <v>1019.540018</v>
      </c>
      <c r="F602" s="9">
        <v>10</v>
      </c>
      <c r="G602" s="9">
        <v>101.95</v>
      </c>
      <c r="H602" s="9">
        <v>3.7777769999999999</v>
      </c>
      <c r="I602" s="9">
        <v>0</v>
      </c>
      <c r="J602" s="9">
        <v>0</v>
      </c>
      <c r="K602" s="62" t="s">
        <v>44</v>
      </c>
      <c r="L602" s="63" t="str">
        <f t="shared" si="18"/>
        <v>Oct-2017</v>
      </c>
      <c r="M602" s="29">
        <f t="shared" si="19"/>
        <v>43009</v>
      </c>
    </row>
    <row r="603" spans="1:13" ht="21" x14ac:dyDescent="0.35">
      <c r="A603" s="8">
        <v>2017</v>
      </c>
      <c r="B603" s="9">
        <v>10</v>
      </c>
      <c r="C603" s="17" t="s">
        <v>47</v>
      </c>
      <c r="D603" s="64" t="s">
        <v>110</v>
      </c>
      <c r="E603" s="9">
        <v>1018.599993</v>
      </c>
      <c r="F603" s="9">
        <v>5</v>
      </c>
      <c r="G603" s="9">
        <v>203.72</v>
      </c>
      <c r="H603" s="9">
        <v>4.5999999999999996</v>
      </c>
      <c r="I603" s="9">
        <v>0</v>
      </c>
      <c r="J603" s="9">
        <v>0</v>
      </c>
      <c r="K603" s="62" t="s">
        <v>44</v>
      </c>
      <c r="L603" s="63" t="str">
        <f t="shared" si="18"/>
        <v>Oct-2017</v>
      </c>
      <c r="M603" s="29">
        <f t="shared" si="19"/>
        <v>43009</v>
      </c>
    </row>
    <row r="604" spans="1:13" ht="21" x14ac:dyDescent="0.35">
      <c r="A604" s="8">
        <v>2017</v>
      </c>
      <c r="B604" s="9">
        <v>10</v>
      </c>
      <c r="C604" s="17" t="s">
        <v>125</v>
      </c>
      <c r="D604" s="64" t="s">
        <v>68</v>
      </c>
      <c r="E604" s="9">
        <v>880</v>
      </c>
      <c r="F604" s="9">
        <v>6</v>
      </c>
      <c r="G604" s="9">
        <v>146.66999999999999</v>
      </c>
      <c r="H604" s="9">
        <v>4.8333329999999997</v>
      </c>
      <c r="I604" s="9">
        <v>0</v>
      </c>
      <c r="J604" s="9">
        <v>0</v>
      </c>
      <c r="K604" s="62" t="s">
        <v>44</v>
      </c>
      <c r="L604" s="63" t="str">
        <f t="shared" si="18"/>
        <v>Oct-2017</v>
      </c>
      <c r="M604" s="29">
        <f t="shared" si="19"/>
        <v>43009</v>
      </c>
    </row>
    <row r="605" spans="1:13" ht="21" x14ac:dyDescent="0.35">
      <c r="A605" s="8">
        <v>2017</v>
      </c>
      <c r="B605" s="9">
        <v>10</v>
      </c>
      <c r="C605" s="17" t="s">
        <v>76</v>
      </c>
      <c r="D605" s="64" t="s">
        <v>72</v>
      </c>
      <c r="E605" s="9">
        <v>806.06000329999995</v>
      </c>
      <c r="F605" s="9">
        <v>12</v>
      </c>
      <c r="G605" s="9">
        <v>67.17</v>
      </c>
      <c r="H605" s="9">
        <v>4.7272720000000001</v>
      </c>
      <c r="I605" s="9">
        <v>0</v>
      </c>
      <c r="J605" s="9">
        <v>0</v>
      </c>
      <c r="K605" s="62" t="s">
        <v>44</v>
      </c>
      <c r="L605" s="63" t="str">
        <f t="shared" si="18"/>
        <v>Oct-2017</v>
      </c>
      <c r="M605" s="29">
        <f t="shared" si="19"/>
        <v>43009</v>
      </c>
    </row>
    <row r="606" spans="1:13" ht="21" x14ac:dyDescent="0.35">
      <c r="A606" s="8">
        <v>2017</v>
      </c>
      <c r="B606" s="9">
        <v>10</v>
      </c>
      <c r="C606" s="17" t="s">
        <v>77</v>
      </c>
      <c r="D606" s="64" t="s">
        <v>98</v>
      </c>
      <c r="E606" s="9">
        <v>746.90000339999995</v>
      </c>
      <c r="F606" s="9">
        <v>8</v>
      </c>
      <c r="G606" s="9">
        <v>93.36</v>
      </c>
      <c r="H606" s="9">
        <v>3.875</v>
      </c>
      <c r="I606" s="9">
        <v>0</v>
      </c>
      <c r="J606" s="9">
        <v>0</v>
      </c>
      <c r="K606" s="62" t="s">
        <v>44</v>
      </c>
      <c r="L606" s="63" t="str">
        <f t="shared" si="18"/>
        <v>Oct-2017</v>
      </c>
      <c r="M606" s="29">
        <f t="shared" si="19"/>
        <v>43009</v>
      </c>
    </row>
    <row r="607" spans="1:13" ht="21" x14ac:dyDescent="0.35">
      <c r="A607" s="8">
        <v>2017</v>
      </c>
      <c r="B607" s="9">
        <v>10</v>
      </c>
      <c r="C607" s="17" t="s">
        <v>94</v>
      </c>
      <c r="D607" s="64" t="s">
        <v>107</v>
      </c>
      <c r="E607" s="9">
        <v>744</v>
      </c>
      <c r="F607" s="9">
        <v>7</v>
      </c>
      <c r="G607" s="9">
        <v>106.29</v>
      </c>
      <c r="H607" s="9">
        <v>4.1666660000000002</v>
      </c>
      <c r="I607" s="9">
        <v>0</v>
      </c>
      <c r="J607" s="9">
        <v>0</v>
      </c>
      <c r="K607" s="62" t="s">
        <v>44</v>
      </c>
      <c r="L607" s="63" t="str">
        <f t="shared" si="18"/>
        <v>Oct-2017</v>
      </c>
      <c r="M607" s="29">
        <f t="shared" si="19"/>
        <v>43009</v>
      </c>
    </row>
    <row r="608" spans="1:13" ht="21" x14ac:dyDescent="0.35">
      <c r="A608" s="8">
        <v>2017</v>
      </c>
      <c r="B608" s="9">
        <v>10</v>
      </c>
      <c r="C608" s="17" t="s">
        <v>103</v>
      </c>
      <c r="D608" s="64" t="s">
        <v>71</v>
      </c>
      <c r="E608" s="9">
        <v>734.50000569999997</v>
      </c>
      <c r="F608" s="9">
        <v>8</v>
      </c>
      <c r="G608" s="9">
        <v>91.81</v>
      </c>
      <c r="H608" s="9">
        <v>4.571428</v>
      </c>
      <c r="I608" s="9">
        <v>0</v>
      </c>
      <c r="J608" s="9">
        <v>0</v>
      </c>
      <c r="K608" s="62" t="s">
        <v>44</v>
      </c>
      <c r="L608" s="63" t="str">
        <f t="shared" si="18"/>
        <v>Oct-2017</v>
      </c>
      <c r="M608" s="29">
        <f t="shared" si="19"/>
        <v>43009</v>
      </c>
    </row>
    <row r="609" spans="1:13" ht="21" x14ac:dyDescent="0.35">
      <c r="A609" s="8">
        <v>2017</v>
      </c>
      <c r="B609" s="9">
        <v>10</v>
      </c>
      <c r="C609" s="17" t="s">
        <v>109</v>
      </c>
      <c r="D609" s="64" t="s">
        <v>104</v>
      </c>
      <c r="E609" s="9">
        <v>596.97999760000005</v>
      </c>
      <c r="F609" s="9">
        <v>10</v>
      </c>
      <c r="G609" s="9">
        <v>59.7</v>
      </c>
      <c r="H609" s="9">
        <v>4.3</v>
      </c>
      <c r="I609" s="9">
        <v>0</v>
      </c>
      <c r="J609" s="9">
        <v>0</v>
      </c>
      <c r="K609" s="62" t="s">
        <v>44</v>
      </c>
      <c r="L609" s="63" t="str">
        <f t="shared" si="18"/>
        <v>Oct-2017</v>
      </c>
      <c r="M609" s="29">
        <f t="shared" si="19"/>
        <v>43009</v>
      </c>
    </row>
    <row r="610" spans="1:13" ht="21" x14ac:dyDescent="0.35">
      <c r="A610" s="8">
        <v>2017</v>
      </c>
      <c r="B610" s="9">
        <v>10</v>
      </c>
      <c r="C610" s="17" t="s">
        <v>115</v>
      </c>
      <c r="D610" s="64" t="s">
        <v>121</v>
      </c>
      <c r="E610" s="9">
        <v>500</v>
      </c>
      <c r="F610" s="9">
        <v>2</v>
      </c>
      <c r="G610" s="9">
        <v>250</v>
      </c>
      <c r="H610" s="9">
        <v>3.5</v>
      </c>
      <c r="I610" s="9">
        <v>0</v>
      </c>
      <c r="J610" s="9">
        <v>0</v>
      </c>
      <c r="K610" s="62" t="s">
        <v>44</v>
      </c>
      <c r="L610" s="63" t="str">
        <f t="shared" si="18"/>
        <v>Oct-2017</v>
      </c>
      <c r="M610" s="29">
        <f t="shared" si="19"/>
        <v>43009</v>
      </c>
    </row>
    <row r="611" spans="1:13" ht="21" x14ac:dyDescent="0.35">
      <c r="A611" s="8">
        <v>2017</v>
      </c>
      <c r="B611" s="9">
        <v>10</v>
      </c>
      <c r="C611" s="17" t="s">
        <v>118</v>
      </c>
      <c r="D611" s="64" t="s">
        <v>113</v>
      </c>
      <c r="E611" s="9">
        <v>388.05000690000003</v>
      </c>
      <c r="F611" s="9">
        <v>7</v>
      </c>
      <c r="G611" s="9">
        <v>55.44</v>
      </c>
      <c r="H611" s="9">
        <v>4.2857139999999996</v>
      </c>
      <c r="I611" s="9">
        <v>0</v>
      </c>
      <c r="J611" s="9">
        <v>0</v>
      </c>
      <c r="K611" s="62" t="s">
        <v>44</v>
      </c>
      <c r="L611" s="63" t="str">
        <f t="shared" si="18"/>
        <v>Oct-2017</v>
      </c>
      <c r="M611" s="29">
        <f t="shared" si="19"/>
        <v>43009</v>
      </c>
    </row>
    <row r="612" spans="1:13" ht="21" x14ac:dyDescent="0.35">
      <c r="A612" s="8">
        <v>2017</v>
      </c>
      <c r="B612" s="9">
        <v>10</v>
      </c>
      <c r="C612" s="17" t="s">
        <v>120</v>
      </c>
      <c r="D612" s="64" t="s">
        <v>105</v>
      </c>
      <c r="E612" s="9">
        <v>349.05000310000003</v>
      </c>
      <c r="F612" s="9">
        <v>3</v>
      </c>
      <c r="G612" s="9">
        <v>116.35</v>
      </c>
      <c r="H612" s="9">
        <v>4.6666660000000002</v>
      </c>
      <c r="I612" s="9">
        <v>0</v>
      </c>
      <c r="J612" s="9">
        <v>0</v>
      </c>
      <c r="K612" s="62" t="s">
        <v>44</v>
      </c>
      <c r="L612" s="63" t="str">
        <f t="shared" si="18"/>
        <v>Oct-2017</v>
      </c>
      <c r="M612" s="29">
        <f t="shared" si="19"/>
        <v>43009</v>
      </c>
    </row>
    <row r="613" spans="1:13" ht="21" x14ac:dyDescent="0.35">
      <c r="A613" s="8">
        <v>2017</v>
      </c>
      <c r="B613" s="9">
        <v>10</v>
      </c>
      <c r="C613" s="17" t="s">
        <v>124</v>
      </c>
      <c r="D613" s="64" t="s">
        <v>92</v>
      </c>
      <c r="E613" s="9">
        <v>194.5</v>
      </c>
      <c r="F613" s="9">
        <v>5</v>
      </c>
      <c r="G613" s="9">
        <v>38.9</v>
      </c>
      <c r="H613" s="9">
        <v>4.2</v>
      </c>
      <c r="I613" s="9">
        <v>1</v>
      </c>
      <c r="J613" s="9">
        <v>20</v>
      </c>
      <c r="K613" s="62" t="s">
        <v>44</v>
      </c>
      <c r="L613" s="63" t="str">
        <f t="shared" si="18"/>
        <v>Oct-2017</v>
      </c>
      <c r="M613" s="29">
        <f t="shared" si="19"/>
        <v>43009</v>
      </c>
    </row>
    <row r="614" spans="1:13" ht="21" x14ac:dyDescent="0.35">
      <c r="A614" s="8">
        <v>2017</v>
      </c>
      <c r="B614" s="9">
        <v>10</v>
      </c>
      <c r="C614" s="17" t="s">
        <v>42</v>
      </c>
      <c r="D614" s="64" t="s">
        <v>87</v>
      </c>
      <c r="E614" s="9">
        <v>187.8000011</v>
      </c>
      <c r="F614" s="9">
        <v>3</v>
      </c>
      <c r="G614" s="9">
        <v>62.6</v>
      </c>
      <c r="H614" s="9">
        <v>4.6666660000000002</v>
      </c>
      <c r="I614" s="9">
        <v>0</v>
      </c>
      <c r="J614" s="9">
        <v>0</v>
      </c>
      <c r="K614" s="62" t="s">
        <v>44</v>
      </c>
      <c r="L614" s="63" t="str">
        <f t="shared" si="18"/>
        <v>Oct-2017</v>
      </c>
      <c r="M614" s="29">
        <f t="shared" si="19"/>
        <v>43009</v>
      </c>
    </row>
    <row r="615" spans="1:13" ht="21" x14ac:dyDescent="0.35">
      <c r="A615" s="8">
        <v>2017</v>
      </c>
      <c r="B615" s="9">
        <v>10</v>
      </c>
      <c r="C615" s="17" t="s">
        <v>47</v>
      </c>
      <c r="D615" s="64" t="s">
        <v>123</v>
      </c>
      <c r="E615" s="9">
        <v>137.8000031</v>
      </c>
      <c r="F615" s="9">
        <v>2</v>
      </c>
      <c r="G615" s="9">
        <v>68.900000000000006</v>
      </c>
      <c r="H615" s="9">
        <v>4.5</v>
      </c>
      <c r="I615" s="9">
        <v>0</v>
      </c>
      <c r="J615" s="9">
        <v>0</v>
      </c>
      <c r="K615" s="62" t="s">
        <v>44</v>
      </c>
      <c r="L615" s="63" t="str">
        <f t="shared" si="18"/>
        <v>Oct-2017</v>
      </c>
      <c r="M615" s="29">
        <f t="shared" si="19"/>
        <v>43009</v>
      </c>
    </row>
    <row r="616" spans="1:13" ht="21" x14ac:dyDescent="0.35">
      <c r="A616" s="8">
        <v>2017</v>
      </c>
      <c r="B616" s="9">
        <v>10</v>
      </c>
      <c r="C616" s="17" t="s">
        <v>125</v>
      </c>
      <c r="D616" s="64" t="s">
        <v>114</v>
      </c>
      <c r="E616" s="9">
        <v>137</v>
      </c>
      <c r="F616" s="9">
        <v>1</v>
      </c>
      <c r="G616" s="9">
        <v>137</v>
      </c>
      <c r="H616" s="9">
        <v>5</v>
      </c>
      <c r="I616" s="9">
        <v>0</v>
      </c>
      <c r="J616" s="9">
        <v>0</v>
      </c>
      <c r="K616" s="62" t="s">
        <v>44</v>
      </c>
      <c r="L616" s="63" t="str">
        <f t="shared" si="18"/>
        <v>Oct-2017</v>
      </c>
      <c r="M616" s="29">
        <f t="shared" si="19"/>
        <v>43009</v>
      </c>
    </row>
    <row r="617" spans="1:13" ht="21" x14ac:dyDescent="0.35">
      <c r="A617" s="8">
        <v>2017</v>
      </c>
      <c r="B617" s="9">
        <v>10</v>
      </c>
      <c r="C617" s="17" t="s">
        <v>76</v>
      </c>
      <c r="D617" s="64" t="s">
        <v>95</v>
      </c>
      <c r="E617" s="9">
        <v>99</v>
      </c>
      <c r="F617" s="9">
        <v>1</v>
      </c>
      <c r="G617" s="9">
        <v>99</v>
      </c>
      <c r="H617" s="9">
        <v>4</v>
      </c>
      <c r="I617" s="9">
        <v>0</v>
      </c>
      <c r="J617" s="9">
        <v>0</v>
      </c>
      <c r="K617" s="62" t="s">
        <v>44</v>
      </c>
      <c r="L617" s="63" t="str">
        <f t="shared" si="18"/>
        <v>Oct-2017</v>
      </c>
      <c r="M617" s="29">
        <f t="shared" si="19"/>
        <v>43009</v>
      </c>
    </row>
    <row r="618" spans="1:13" ht="21" x14ac:dyDescent="0.35">
      <c r="A618" s="8">
        <v>2017</v>
      </c>
      <c r="B618" s="9">
        <v>10</v>
      </c>
      <c r="C618" s="17" t="s">
        <v>77</v>
      </c>
      <c r="D618" s="64" t="s">
        <v>102</v>
      </c>
      <c r="E618" s="9">
        <v>69</v>
      </c>
      <c r="F618" s="9">
        <v>1</v>
      </c>
      <c r="G618" s="9">
        <v>69</v>
      </c>
      <c r="H618" s="9">
        <v>3</v>
      </c>
      <c r="I618" s="9">
        <v>0</v>
      </c>
      <c r="J618" s="9">
        <v>0</v>
      </c>
      <c r="K618" s="62" t="s">
        <v>44</v>
      </c>
      <c r="L618" s="63" t="str">
        <f t="shared" si="18"/>
        <v>Oct-2017</v>
      </c>
      <c r="M618" s="29">
        <f t="shared" si="19"/>
        <v>43009</v>
      </c>
    </row>
    <row r="619" spans="1:13" ht="21" x14ac:dyDescent="0.35">
      <c r="A619" s="8">
        <v>2017</v>
      </c>
      <c r="B619" s="9">
        <v>10</v>
      </c>
      <c r="C619" s="17" t="s">
        <v>94</v>
      </c>
      <c r="D619" s="64" t="s">
        <v>90</v>
      </c>
      <c r="E619" s="9">
        <v>64.499998090000005</v>
      </c>
      <c r="F619" s="9">
        <v>3</v>
      </c>
      <c r="G619" s="9">
        <v>21.5</v>
      </c>
      <c r="H619" s="9">
        <v>5</v>
      </c>
      <c r="I619" s="9">
        <v>0</v>
      </c>
      <c r="J619" s="9">
        <v>0</v>
      </c>
      <c r="K619" s="62" t="s">
        <v>44</v>
      </c>
      <c r="L619" s="63" t="str">
        <f t="shared" si="18"/>
        <v>Oct-2017</v>
      </c>
      <c r="M619" s="29">
        <f t="shared" si="19"/>
        <v>43009</v>
      </c>
    </row>
    <row r="620" spans="1:13" ht="21" x14ac:dyDescent="0.35">
      <c r="A620" s="8">
        <v>2017</v>
      </c>
      <c r="B620" s="9">
        <v>10</v>
      </c>
      <c r="C620" s="17" t="s">
        <v>103</v>
      </c>
      <c r="D620" s="64" t="s">
        <v>108</v>
      </c>
      <c r="E620" s="9">
        <v>59.900001529999997</v>
      </c>
      <c r="F620" s="9">
        <v>1</v>
      </c>
      <c r="G620" s="9">
        <v>59.9</v>
      </c>
      <c r="H620" s="9">
        <v>5</v>
      </c>
      <c r="I620" s="9">
        <v>0</v>
      </c>
      <c r="J620" s="9">
        <v>0</v>
      </c>
      <c r="K620" s="62" t="s">
        <v>44</v>
      </c>
      <c r="L620" s="63" t="str">
        <f t="shared" si="18"/>
        <v>Oct-2017</v>
      </c>
      <c r="M620" s="29">
        <f t="shared" si="19"/>
        <v>43009</v>
      </c>
    </row>
    <row r="621" spans="1:13" ht="21" x14ac:dyDescent="0.35">
      <c r="A621" s="8">
        <v>2017</v>
      </c>
      <c r="B621" s="9">
        <v>10</v>
      </c>
      <c r="C621" s="17" t="s">
        <v>109</v>
      </c>
      <c r="D621" s="64" t="s">
        <v>93</v>
      </c>
      <c r="E621" s="9">
        <v>54.900001529999997</v>
      </c>
      <c r="F621" s="9">
        <v>1</v>
      </c>
      <c r="G621" s="9">
        <v>54.9</v>
      </c>
      <c r="H621" s="9">
        <v>5</v>
      </c>
      <c r="I621" s="9">
        <v>0</v>
      </c>
      <c r="J621" s="9">
        <v>0</v>
      </c>
      <c r="K621" s="62" t="s">
        <v>44</v>
      </c>
      <c r="L621" s="63" t="str">
        <f t="shared" si="18"/>
        <v>Oct-2017</v>
      </c>
      <c r="M621" s="29">
        <f t="shared" si="19"/>
        <v>43009</v>
      </c>
    </row>
    <row r="622" spans="1:13" ht="21" x14ac:dyDescent="0.35">
      <c r="A622" s="8">
        <v>2017</v>
      </c>
      <c r="B622" s="9">
        <v>10</v>
      </c>
      <c r="C622" s="17" t="s">
        <v>115</v>
      </c>
      <c r="D622" s="64" t="s">
        <v>122</v>
      </c>
      <c r="E622" s="9">
        <v>45</v>
      </c>
      <c r="F622" s="9">
        <v>1</v>
      </c>
      <c r="G622" s="9">
        <v>45</v>
      </c>
      <c r="H622" s="9">
        <v>5</v>
      </c>
      <c r="I622" s="9">
        <v>0</v>
      </c>
      <c r="J622" s="9">
        <v>0</v>
      </c>
      <c r="K622" s="62" t="s">
        <v>44</v>
      </c>
      <c r="L622" s="63" t="str">
        <f t="shared" si="18"/>
        <v>Oct-2017</v>
      </c>
      <c r="M622" s="29">
        <f t="shared" si="19"/>
        <v>43009</v>
      </c>
    </row>
    <row r="623" spans="1:13" ht="21" x14ac:dyDescent="0.35">
      <c r="A623" s="8">
        <v>2017</v>
      </c>
      <c r="B623" s="9">
        <v>10</v>
      </c>
      <c r="C623" s="17" t="s">
        <v>118</v>
      </c>
      <c r="D623" s="64" t="s">
        <v>116</v>
      </c>
      <c r="E623" s="9">
        <v>39.990001679999999</v>
      </c>
      <c r="F623" s="9">
        <v>1</v>
      </c>
      <c r="G623" s="9">
        <v>39.99</v>
      </c>
      <c r="H623" s="9">
        <v>5</v>
      </c>
      <c r="I623" s="9">
        <v>0</v>
      </c>
      <c r="J623" s="9">
        <v>0</v>
      </c>
      <c r="K623" s="62" t="s">
        <v>44</v>
      </c>
      <c r="L623" s="63" t="str">
        <f t="shared" si="18"/>
        <v>Oct-2017</v>
      </c>
      <c r="M623" s="29">
        <f t="shared" si="19"/>
        <v>43009</v>
      </c>
    </row>
    <row r="624" spans="1:13" ht="21" x14ac:dyDescent="0.35">
      <c r="A624" s="8">
        <v>2017</v>
      </c>
      <c r="B624" s="9">
        <v>11</v>
      </c>
      <c r="C624" s="17" t="s">
        <v>120</v>
      </c>
      <c r="D624" s="64" t="s">
        <v>51</v>
      </c>
      <c r="E624" s="9">
        <v>97724.569820000004</v>
      </c>
      <c r="F624" s="9">
        <v>430</v>
      </c>
      <c r="G624" s="9">
        <v>227.27</v>
      </c>
      <c r="H624" s="9">
        <v>3.9882070000000001</v>
      </c>
      <c r="I624" s="9">
        <v>2</v>
      </c>
      <c r="J624" s="9">
        <v>0.47</v>
      </c>
      <c r="K624" s="62" t="s">
        <v>44</v>
      </c>
      <c r="L624" s="63" t="str">
        <f t="shared" si="18"/>
        <v>Nov-2017</v>
      </c>
      <c r="M624" s="29">
        <f t="shared" si="19"/>
        <v>43040</v>
      </c>
    </row>
    <row r="625" spans="1:13" ht="21" x14ac:dyDescent="0.35">
      <c r="A625" s="8">
        <v>2017</v>
      </c>
      <c r="B625" s="9">
        <v>11</v>
      </c>
      <c r="C625" s="17" t="s">
        <v>124</v>
      </c>
      <c r="D625" s="64" t="s">
        <v>66</v>
      </c>
      <c r="E625" s="9">
        <v>89412.540110000002</v>
      </c>
      <c r="F625" s="9">
        <v>817</v>
      </c>
      <c r="G625" s="9">
        <v>109.44</v>
      </c>
      <c r="H625" s="9">
        <v>3.6524160000000001</v>
      </c>
      <c r="I625" s="9">
        <v>2</v>
      </c>
      <c r="J625" s="9">
        <v>0.24</v>
      </c>
      <c r="K625" s="62" t="s">
        <v>44</v>
      </c>
      <c r="L625" s="63" t="str">
        <f t="shared" si="18"/>
        <v>Nov-2017</v>
      </c>
      <c r="M625" s="29">
        <f t="shared" si="19"/>
        <v>43040</v>
      </c>
    </row>
    <row r="626" spans="1:13" ht="21" x14ac:dyDescent="0.35">
      <c r="A626" s="8">
        <v>2017</v>
      </c>
      <c r="B626" s="9">
        <v>11</v>
      </c>
      <c r="C626" s="17" t="s">
        <v>42</v>
      </c>
      <c r="D626" s="64" t="s">
        <v>43</v>
      </c>
      <c r="E626" s="9">
        <v>79120.400099999999</v>
      </c>
      <c r="F626" s="9">
        <v>530</v>
      </c>
      <c r="G626" s="9">
        <v>149.28</v>
      </c>
      <c r="H626" s="9">
        <v>4.1280830000000002</v>
      </c>
      <c r="I626" s="9">
        <v>1</v>
      </c>
      <c r="J626" s="9">
        <v>0.19</v>
      </c>
      <c r="K626" s="62" t="s">
        <v>44</v>
      </c>
      <c r="L626" s="63" t="str">
        <f t="shared" si="18"/>
        <v>Nov-2017</v>
      </c>
      <c r="M626" s="29">
        <f t="shared" si="19"/>
        <v>43040</v>
      </c>
    </row>
    <row r="627" spans="1:13" ht="21" x14ac:dyDescent="0.35">
      <c r="A627" s="8">
        <v>2017</v>
      </c>
      <c r="B627" s="9">
        <v>11</v>
      </c>
      <c r="C627" s="17" t="s">
        <v>47</v>
      </c>
      <c r="D627" s="64" t="s">
        <v>56</v>
      </c>
      <c r="E627" s="9">
        <v>72656.000029999996</v>
      </c>
      <c r="F627" s="9">
        <v>444</v>
      </c>
      <c r="G627" s="9">
        <v>163.63999999999999</v>
      </c>
      <c r="H627" s="9">
        <v>3.9242080000000001</v>
      </c>
      <c r="I627" s="9">
        <v>2</v>
      </c>
      <c r="J627" s="9">
        <v>0.45</v>
      </c>
      <c r="K627" s="62" t="s">
        <v>44</v>
      </c>
      <c r="L627" s="63" t="str">
        <f t="shared" si="18"/>
        <v>Nov-2017</v>
      </c>
      <c r="M627" s="29">
        <f t="shared" si="19"/>
        <v>43040</v>
      </c>
    </row>
    <row r="628" spans="1:13" ht="21" x14ac:dyDescent="0.35">
      <c r="A628" s="8">
        <v>2017</v>
      </c>
      <c r="B628" s="9">
        <v>11</v>
      </c>
      <c r="C628" s="17" t="s">
        <v>125</v>
      </c>
      <c r="D628" s="64" t="s">
        <v>52</v>
      </c>
      <c r="E628" s="9">
        <v>64874.05</v>
      </c>
      <c r="F628" s="9">
        <v>557</v>
      </c>
      <c r="G628" s="9">
        <v>116.47</v>
      </c>
      <c r="H628" s="9">
        <v>4.1796730000000002</v>
      </c>
      <c r="I628" s="9">
        <v>3</v>
      </c>
      <c r="J628" s="9">
        <v>0.54</v>
      </c>
      <c r="K628" s="62" t="s">
        <v>44</v>
      </c>
      <c r="L628" s="63" t="str">
        <f t="shared" si="18"/>
        <v>Nov-2017</v>
      </c>
      <c r="M628" s="29">
        <f t="shared" si="19"/>
        <v>43040</v>
      </c>
    </row>
    <row r="629" spans="1:13" ht="21" x14ac:dyDescent="0.35">
      <c r="A629" s="8">
        <v>2017</v>
      </c>
      <c r="B629" s="9">
        <v>11</v>
      </c>
      <c r="C629" s="17" t="s">
        <v>76</v>
      </c>
      <c r="D629" s="64" t="s">
        <v>49</v>
      </c>
      <c r="E629" s="9">
        <v>64320.890010000003</v>
      </c>
      <c r="F629" s="9">
        <v>452</v>
      </c>
      <c r="G629" s="9">
        <v>142.30000000000001</v>
      </c>
      <c r="H629" s="9">
        <v>4.0658479999999999</v>
      </c>
      <c r="I629" s="9">
        <v>2</v>
      </c>
      <c r="J629" s="9">
        <v>0.44</v>
      </c>
      <c r="K629" s="62" t="s">
        <v>44</v>
      </c>
      <c r="L629" s="63" t="str">
        <f t="shared" si="18"/>
        <v>Nov-2017</v>
      </c>
      <c r="M629" s="29">
        <f t="shared" si="19"/>
        <v>43040</v>
      </c>
    </row>
    <row r="630" spans="1:13" ht="21" x14ac:dyDescent="0.35">
      <c r="A630" s="8">
        <v>2017</v>
      </c>
      <c r="B630" s="9">
        <v>11</v>
      </c>
      <c r="C630" s="17" t="s">
        <v>77</v>
      </c>
      <c r="D630" s="64" t="s">
        <v>45</v>
      </c>
      <c r="E630" s="9">
        <v>63223.970359999999</v>
      </c>
      <c r="F630" s="9">
        <v>547</v>
      </c>
      <c r="G630" s="9">
        <v>115.58</v>
      </c>
      <c r="H630" s="9">
        <v>3.6992609999999999</v>
      </c>
      <c r="I630" s="9">
        <v>1</v>
      </c>
      <c r="J630" s="9">
        <v>0.18</v>
      </c>
      <c r="K630" s="62" t="s">
        <v>44</v>
      </c>
      <c r="L630" s="63" t="str">
        <f t="shared" si="18"/>
        <v>Nov-2017</v>
      </c>
      <c r="M630" s="29">
        <f t="shared" si="19"/>
        <v>43040</v>
      </c>
    </row>
    <row r="631" spans="1:13" ht="21" x14ac:dyDescent="0.35">
      <c r="A631" s="8">
        <v>2017</v>
      </c>
      <c r="B631" s="9">
        <v>11</v>
      </c>
      <c r="C631" s="17" t="s">
        <v>94</v>
      </c>
      <c r="D631" s="64" t="s">
        <v>62</v>
      </c>
      <c r="E631" s="9">
        <v>56295.240510000003</v>
      </c>
      <c r="F631" s="9">
        <v>291</v>
      </c>
      <c r="G631" s="9">
        <v>193.45</v>
      </c>
      <c r="H631" s="9">
        <v>4.0836230000000002</v>
      </c>
      <c r="I631" s="9">
        <v>1</v>
      </c>
      <c r="J631" s="9">
        <v>0.34</v>
      </c>
      <c r="K631" s="62" t="s">
        <v>44</v>
      </c>
      <c r="L631" s="63" t="str">
        <f t="shared" si="18"/>
        <v>Nov-2017</v>
      </c>
      <c r="M631" s="29">
        <f t="shared" si="19"/>
        <v>43040</v>
      </c>
    </row>
    <row r="632" spans="1:13" ht="21" x14ac:dyDescent="0.35">
      <c r="A632" s="8">
        <v>2017</v>
      </c>
      <c r="B632" s="9">
        <v>11</v>
      </c>
      <c r="C632" s="17" t="s">
        <v>103</v>
      </c>
      <c r="D632" s="64" t="s">
        <v>57</v>
      </c>
      <c r="E632" s="9">
        <v>45972.180209999999</v>
      </c>
      <c r="F632" s="9">
        <v>433</v>
      </c>
      <c r="G632" s="9">
        <v>106.17</v>
      </c>
      <c r="H632" s="9">
        <v>3.961627</v>
      </c>
      <c r="I632" s="9">
        <v>1</v>
      </c>
      <c r="J632" s="9">
        <v>0.23</v>
      </c>
      <c r="K632" s="62" t="s">
        <v>44</v>
      </c>
      <c r="L632" s="63" t="str">
        <f t="shared" si="18"/>
        <v>Nov-2017</v>
      </c>
      <c r="M632" s="29">
        <f t="shared" si="19"/>
        <v>43040</v>
      </c>
    </row>
    <row r="633" spans="1:13" ht="21" x14ac:dyDescent="0.35">
      <c r="A633" s="8">
        <v>2017</v>
      </c>
      <c r="B633" s="9">
        <v>11</v>
      </c>
      <c r="C633" s="17" t="s">
        <v>109</v>
      </c>
      <c r="D633" s="64" t="s">
        <v>53</v>
      </c>
      <c r="E633" s="9">
        <v>34955.380120000002</v>
      </c>
      <c r="F633" s="9">
        <v>245</v>
      </c>
      <c r="G633" s="9">
        <v>142.68</v>
      </c>
      <c r="H633" s="9">
        <v>4.0102880000000001</v>
      </c>
      <c r="I633" s="9">
        <v>0</v>
      </c>
      <c r="J633" s="9">
        <v>0</v>
      </c>
      <c r="K633" s="62" t="s">
        <v>44</v>
      </c>
      <c r="L633" s="63" t="str">
        <f t="shared" si="18"/>
        <v>Nov-2017</v>
      </c>
      <c r="M633" s="29">
        <f t="shared" si="19"/>
        <v>43040</v>
      </c>
    </row>
    <row r="634" spans="1:13" ht="21" x14ac:dyDescent="0.35">
      <c r="A634" s="8">
        <v>2017</v>
      </c>
      <c r="B634" s="9">
        <v>11</v>
      </c>
      <c r="C634" s="17" t="s">
        <v>115</v>
      </c>
      <c r="D634" s="64" t="s">
        <v>61</v>
      </c>
      <c r="E634" s="9">
        <v>34855.320119999997</v>
      </c>
      <c r="F634" s="9">
        <v>353</v>
      </c>
      <c r="G634" s="9">
        <v>98.74</v>
      </c>
      <c r="H634" s="9">
        <v>4.0028569999999997</v>
      </c>
      <c r="I634" s="9">
        <v>2</v>
      </c>
      <c r="J634" s="9">
        <v>0.56999999999999995</v>
      </c>
      <c r="K634" s="62" t="s">
        <v>44</v>
      </c>
      <c r="L634" s="63" t="str">
        <f t="shared" si="18"/>
        <v>Nov-2017</v>
      </c>
      <c r="M634" s="29">
        <f t="shared" si="19"/>
        <v>43040</v>
      </c>
    </row>
    <row r="635" spans="1:13" ht="21" x14ac:dyDescent="0.35">
      <c r="A635" s="8">
        <v>2017</v>
      </c>
      <c r="B635" s="9">
        <v>11</v>
      </c>
      <c r="C635" s="17" t="s">
        <v>118</v>
      </c>
      <c r="D635" s="64" t="s">
        <v>48</v>
      </c>
      <c r="E635" s="9">
        <v>31831.809959999999</v>
      </c>
      <c r="F635" s="9">
        <v>293</v>
      </c>
      <c r="G635" s="9">
        <v>108.64</v>
      </c>
      <c r="H635" s="9">
        <v>4.0204769999999996</v>
      </c>
      <c r="I635" s="9">
        <v>0</v>
      </c>
      <c r="J635" s="9">
        <v>0</v>
      </c>
      <c r="K635" s="62" t="s">
        <v>44</v>
      </c>
      <c r="L635" s="63" t="str">
        <f t="shared" si="18"/>
        <v>Nov-2017</v>
      </c>
      <c r="M635" s="29">
        <f t="shared" si="19"/>
        <v>43040</v>
      </c>
    </row>
    <row r="636" spans="1:13" ht="21" x14ac:dyDescent="0.35">
      <c r="A636" s="8">
        <v>2017</v>
      </c>
      <c r="B636" s="9">
        <v>11</v>
      </c>
      <c r="C636" s="17" t="s">
        <v>120</v>
      </c>
      <c r="D636" s="64" t="s">
        <v>46</v>
      </c>
      <c r="E636" s="9">
        <v>26564.87976</v>
      </c>
      <c r="F636" s="9">
        <v>351</v>
      </c>
      <c r="G636" s="9">
        <v>75.680000000000007</v>
      </c>
      <c r="H636" s="9">
        <v>3.8080219999999998</v>
      </c>
      <c r="I636" s="9">
        <v>0</v>
      </c>
      <c r="J636" s="9">
        <v>0</v>
      </c>
      <c r="K636" s="62" t="s">
        <v>44</v>
      </c>
      <c r="L636" s="63" t="str">
        <f t="shared" si="18"/>
        <v>Nov-2017</v>
      </c>
      <c r="M636" s="29">
        <f t="shared" si="19"/>
        <v>43040</v>
      </c>
    </row>
    <row r="637" spans="1:13" ht="21" x14ac:dyDescent="0.35">
      <c r="A637" s="8">
        <v>2017</v>
      </c>
      <c r="B637" s="9">
        <v>11</v>
      </c>
      <c r="C637" s="17" t="s">
        <v>124</v>
      </c>
      <c r="D637" s="64" t="s">
        <v>55</v>
      </c>
      <c r="E637" s="9">
        <v>21738.780050000001</v>
      </c>
      <c r="F637" s="9">
        <v>190</v>
      </c>
      <c r="G637" s="9">
        <v>114.41</v>
      </c>
      <c r="H637" s="9">
        <v>3.8359779999999999</v>
      </c>
      <c r="I637" s="9">
        <v>1</v>
      </c>
      <c r="J637" s="9">
        <v>0.53</v>
      </c>
      <c r="K637" s="62" t="s">
        <v>44</v>
      </c>
      <c r="L637" s="63" t="str">
        <f t="shared" si="18"/>
        <v>Nov-2017</v>
      </c>
      <c r="M637" s="29">
        <f t="shared" si="19"/>
        <v>43040</v>
      </c>
    </row>
    <row r="638" spans="1:13" ht="21" x14ac:dyDescent="0.35">
      <c r="A638" s="8">
        <v>2017</v>
      </c>
      <c r="B638" s="9">
        <v>11</v>
      </c>
      <c r="C638" s="17" t="s">
        <v>42</v>
      </c>
      <c r="D638" s="64" t="s">
        <v>60</v>
      </c>
      <c r="E638" s="9">
        <v>18048.200209999999</v>
      </c>
      <c r="F638" s="9">
        <v>76</v>
      </c>
      <c r="G638" s="9">
        <v>237.48</v>
      </c>
      <c r="H638" s="9">
        <v>3.0657890000000001</v>
      </c>
      <c r="I638" s="9">
        <v>0</v>
      </c>
      <c r="J638" s="9">
        <v>0</v>
      </c>
      <c r="K638" s="62" t="s">
        <v>44</v>
      </c>
      <c r="L638" s="63" t="str">
        <f t="shared" si="18"/>
        <v>Nov-2017</v>
      </c>
      <c r="M638" s="29">
        <f t="shared" si="19"/>
        <v>43040</v>
      </c>
    </row>
    <row r="639" spans="1:13" ht="21" x14ac:dyDescent="0.35">
      <c r="A639" s="8">
        <v>2017</v>
      </c>
      <c r="B639" s="9">
        <v>11</v>
      </c>
      <c r="C639" s="17" t="s">
        <v>47</v>
      </c>
      <c r="D639" s="64" t="s">
        <v>81</v>
      </c>
      <c r="E639" s="9">
        <v>16699.089909999999</v>
      </c>
      <c r="F639" s="9">
        <v>152</v>
      </c>
      <c r="G639" s="9">
        <v>109.86</v>
      </c>
      <c r="H639" s="9">
        <v>4.3112579999999996</v>
      </c>
      <c r="I639" s="9">
        <v>0</v>
      </c>
      <c r="J639" s="9">
        <v>0</v>
      </c>
      <c r="K639" s="62" t="s">
        <v>44</v>
      </c>
      <c r="L639" s="63" t="str">
        <f t="shared" si="18"/>
        <v>Nov-2017</v>
      </c>
      <c r="M639" s="29">
        <f t="shared" si="19"/>
        <v>43040</v>
      </c>
    </row>
    <row r="640" spans="1:13" ht="21" x14ac:dyDescent="0.35">
      <c r="A640" s="8">
        <v>2017</v>
      </c>
      <c r="B640" s="9">
        <v>11</v>
      </c>
      <c r="C640" s="17" t="s">
        <v>125</v>
      </c>
      <c r="D640" s="64" t="s">
        <v>84</v>
      </c>
      <c r="E640" s="9">
        <v>16509.900010000001</v>
      </c>
      <c r="F640" s="9">
        <v>44</v>
      </c>
      <c r="G640" s="9">
        <v>375.23</v>
      </c>
      <c r="H640" s="9">
        <v>3.954545</v>
      </c>
      <c r="I640" s="9">
        <v>2</v>
      </c>
      <c r="J640" s="9">
        <v>4.55</v>
      </c>
      <c r="K640" s="62" t="s">
        <v>44</v>
      </c>
      <c r="L640" s="63" t="str">
        <f t="shared" si="18"/>
        <v>Nov-2017</v>
      </c>
      <c r="M640" s="29">
        <f t="shared" si="19"/>
        <v>43040</v>
      </c>
    </row>
    <row r="641" spans="1:13" ht="21" x14ac:dyDescent="0.35">
      <c r="A641" s="8">
        <v>2017</v>
      </c>
      <c r="B641" s="9">
        <v>11</v>
      </c>
      <c r="C641" s="17" t="s">
        <v>76</v>
      </c>
      <c r="D641" s="64" t="s">
        <v>0</v>
      </c>
      <c r="E641" s="9">
        <v>14115.979960000001</v>
      </c>
      <c r="F641" s="9">
        <v>115</v>
      </c>
      <c r="G641" s="9">
        <v>122.75</v>
      </c>
      <c r="H641" s="9" t="s">
        <v>0</v>
      </c>
      <c r="I641" s="9" t="s">
        <v>0</v>
      </c>
      <c r="J641" s="9" t="s">
        <v>0</v>
      </c>
      <c r="K641" s="62" t="s">
        <v>44</v>
      </c>
      <c r="L641" s="63" t="str">
        <f t="shared" si="18"/>
        <v>Nov-2017</v>
      </c>
      <c r="M641" s="29">
        <f t="shared" si="19"/>
        <v>43040</v>
      </c>
    </row>
    <row r="642" spans="1:13" ht="21" x14ac:dyDescent="0.35">
      <c r="A642" s="8">
        <v>2017</v>
      </c>
      <c r="B642" s="9">
        <v>11</v>
      </c>
      <c r="C642" s="17" t="s">
        <v>77</v>
      </c>
      <c r="D642" s="64" t="s">
        <v>91</v>
      </c>
      <c r="E642" s="9">
        <v>13932.48985</v>
      </c>
      <c r="F642" s="9">
        <v>13</v>
      </c>
      <c r="G642" s="9">
        <v>1071.73</v>
      </c>
      <c r="H642" s="9">
        <v>3.3846150000000002</v>
      </c>
      <c r="I642" s="9">
        <v>0</v>
      </c>
      <c r="J642" s="9">
        <v>0</v>
      </c>
      <c r="K642" s="62" t="s">
        <v>44</v>
      </c>
      <c r="L642" s="63" t="str">
        <f t="shared" ref="L642:L705" si="20">TEXT(DATE(A642,B642,1),"mmm-yyyy")</f>
        <v>Nov-2017</v>
      </c>
      <c r="M642" s="29">
        <f t="shared" ref="M642:M705" si="21">DATE(A642,B642,1)</f>
        <v>43040</v>
      </c>
    </row>
    <row r="643" spans="1:13" ht="21" x14ac:dyDescent="0.35">
      <c r="A643" s="8">
        <v>2017</v>
      </c>
      <c r="B643" s="9">
        <v>11</v>
      </c>
      <c r="C643" s="17" t="s">
        <v>94</v>
      </c>
      <c r="D643" s="64" t="s">
        <v>65</v>
      </c>
      <c r="E643" s="9">
        <v>13414.89004</v>
      </c>
      <c r="F643" s="9">
        <v>185</v>
      </c>
      <c r="G643" s="9">
        <v>72.510000000000005</v>
      </c>
      <c r="H643" s="9">
        <v>3.643243</v>
      </c>
      <c r="I643" s="9">
        <v>1</v>
      </c>
      <c r="J643" s="9">
        <v>0.54</v>
      </c>
      <c r="K643" s="62" t="s">
        <v>44</v>
      </c>
      <c r="L643" s="63" t="str">
        <f t="shared" si="20"/>
        <v>Nov-2017</v>
      </c>
      <c r="M643" s="29">
        <f t="shared" si="21"/>
        <v>43040</v>
      </c>
    </row>
    <row r="644" spans="1:13" ht="21" x14ac:dyDescent="0.35">
      <c r="A644" s="8">
        <v>2017</v>
      </c>
      <c r="B644" s="9">
        <v>11</v>
      </c>
      <c r="C644" s="17" t="s">
        <v>103</v>
      </c>
      <c r="D644" s="64" t="s">
        <v>50</v>
      </c>
      <c r="E644" s="9">
        <v>12608.87997</v>
      </c>
      <c r="F644" s="9">
        <v>129</v>
      </c>
      <c r="G644" s="9">
        <v>97.74</v>
      </c>
      <c r="H644" s="9">
        <v>4.0620149999999997</v>
      </c>
      <c r="I644" s="9">
        <v>1</v>
      </c>
      <c r="J644" s="9">
        <v>0.78</v>
      </c>
      <c r="K644" s="62" t="s">
        <v>44</v>
      </c>
      <c r="L644" s="63" t="str">
        <f t="shared" si="20"/>
        <v>Nov-2017</v>
      </c>
      <c r="M644" s="29">
        <f t="shared" si="21"/>
        <v>43040</v>
      </c>
    </row>
    <row r="645" spans="1:13" ht="21" x14ac:dyDescent="0.35">
      <c r="A645" s="8">
        <v>2017</v>
      </c>
      <c r="B645" s="9">
        <v>11</v>
      </c>
      <c r="C645" s="17" t="s">
        <v>109</v>
      </c>
      <c r="D645" s="64" t="s">
        <v>64</v>
      </c>
      <c r="E645" s="9">
        <v>11325.680039999999</v>
      </c>
      <c r="F645" s="9">
        <v>84</v>
      </c>
      <c r="G645" s="9">
        <v>134.83000000000001</v>
      </c>
      <c r="H645" s="9">
        <v>4.253012</v>
      </c>
      <c r="I645" s="9">
        <v>1</v>
      </c>
      <c r="J645" s="9">
        <v>1.19</v>
      </c>
      <c r="K645" s="62" t="s">
        <v>44</v>
      </c>
      <c r="L645" s="63" t="str">
        <f t="shared" si="20"/>
        <v>Nov-2017</v>
      </c>
      <c r="M645" s="29">
        <f t="shared" si="21"/>
        <v>43040</v>
      </c>
    </row>
    <row r="646" spans="1:13" ht="21" x14ac:dyDescent="0.35">
      <c r="A646" s="8">
        <v>2017</v>
      </c>
      <c r="B646" s="9">
        <v>11</v>
      </c>
      <c r="C646" s="17" t="s">
        <v>115</v>
      </c>
      <c r="D646" s="64" t="s">
        <v>58</v>
      </c>
      <c r="E646" s="9">
        <v>10026.139950000001</v>
      </c>
      <c r="F646" s="9">
        <v>165</v>
      </c>
      <c r="G646" s="9">
        <v>60.76</v>
      </c>
      <c r="H646" s="9">
        <v>4.0363629999999997</v>
      </c>
      <c r="I646" s="9">
        <v>0</v>
      </c>
      <c r="J646" s="9">
        <v>0</v>
      </c>
      <c r="K646" s="62" t="s">
        <v>44</v>
      </c>
      <c r="L646" s="63" t="str">
        <f t="shared" si="20"/>
        <v>Nov-2017</v>
      </c>
      <c r="M646" s="29">
        <f t="shared" si="21"/>
        <v>43040</v>
      </c>
    </row>
    <row r="647" spans="1:13" ht="21" x14ac:dyDescent="0.35">
      <c r="A647" s="8">
        <v>2017</v>
      </c>
      <c r="B647" s="9">
        <v>11</v>
      </c>
      <c r="C647" s="17" t="s">
        <v>118</v>
      </c>
      <c r="D647" s="64" t="s">
        <v>78</v>
      </c>
      <c r="E647" s="9">
        <v>9768</v>
      </c>
      <c r="F647" s="9">
        <v>7</v>
      </c>
      <c r="G647" s="9">
        <v>1395.43</v>
      </c>
      <c r="H647" s="9">
        <v>4.2857139999999996</v>
      </c>
      <c r="I647" s="9">
        <v>0</v>
      </c>
      <c r="J647" s="9">
        <v>0</v>
      </c>
      <c r="K647" s="62" t="s">
        <v>44</v>
      </c>
      <c r="L647" s="63" t="str">
        <f t="shared" si="20"/>
        <v>Nov-2017</v>
      </c>
      <c r="M647" s="29">
        <f t="shared" si="21"/>
        <v>43040</v>
      </c>
    </row>
    <row r="648" spans="1:13" ht="21" x14ac:dyDescent="0.35">
      <c r="A648" s="8">
        <v>2017</v>
      </c>
      <c r="B648" s="9">
        <v>11</v>
      </c>
      <c r="C648" s="17" t="s">
        <v>120</v>
      </c>
      <c r="D648" s="64" t="s">
        <v>83</v>
      </c>
      <c r="E648" s="9">
        <v>8538.9499909999995</v>
      </c>
      <c r="F648" s="9">
        <v>65</v>
      </c>
      <c r="G648" s="9">
        <v>131.37</v>
      </c>
      <c r="H648" s="9">
        <v>4.2153840000000002</v>
      </c>
      <c r="I648" s="9">
        <v>1</v>
      </c>
      <c r="J648" s="9">
        <v>1.54</v>
      </c>
      <c r="K648" s="62" t="s">
        <v>44</v>
      </c>
      <c r="L648" s="63" t="str">
        <f t="shared" si="20"/>
        <v>Nov-2017</v>
      </c>
      <c r="M648" s="29">
        <f t="shared" si="21"/>
        <v>43040</v>
      </c>
    </row>
    <row r="649" spans="1:13" ht="21" x14ac:dyDescent="0.35">
      <c r="A649" s="8">
        <v>2017</v>
      </c>
      <c r="B649" s="9">
        <v>11</v>
      </c>
      <c r="C649" s="17" t="s">
        <v>124</v>
      </c>
      <c r="D649" s="64" t="s">
        <v>80</v>
      </c>
      <c r="E649" s="9">
        <v>7826.8199770000001</v>
      </c>
      <c r="F649" s="9">
        <v>30</v>
      </c>
      <c r="G649" s="9">
        <v>260.89</v>
      </c>
      <c r="H649" s="9">
        <v>3.9</v>
      </c>
      <c r="I649" s="9">
        <v>1</v>
      </c>
      <c r="J649" s="9">
        <v>3.33</v>
      </c>
      <c r="K649" s="62" t="s">
        <v>44</v>
      </c>
      <c r="L649" s="63" t="str">
        <f t="shared" si="20"/>
        <v>Nov-2017</v>
      </c>
      <c r="M649" s="29">
        <f t="shared" si="21"/>
        <v>43040</v>
      </c>
    </row>
    <row r="650" spans="1:13" ht="21" x14ac:dyDescent="0.35">
      <c r="A650" s="8">
        <v>2017</v>
      </c>
      <c r="B650" s="9">
        <v>11</v>
      </c>
      <c r="C650" s="17" t="s">
        <v>42</v>
      </c>
      <c r="D650" s="64" t="s">
        <v>85</v>
      </c>
      <c r="E650" s="9">
        <v>6993.5600260000001</v>
      </c>
      <c r="F650" s="9">
        <v>36</v>
      </c>
      <c r="G650" s="9">
        <v>194.27</v>
      </c>
      <c r="H650" s="9">
        <v>4.1428570000000002</v>
      </c>
      <c r="I650" s="9">
        <v>0</v>
      </c>
      <c r="J650" s="9">
        <v>0</v>
      </c>
      <c r="K650" s="62" t="s">
        <v>44</v>
      </c>
      <c r="L650" s="63" t="str">
        <f t="shared" si="20"/>
        <v>Nov-2017</v>
      </c>
      <c r="M650" s="29">
        <f t="shared" si="21"/>
        <v>43040</v>
      </c>
    </row>
    <row r="651" spans="1:13" ht="21" x14ac:dyDescent="0.35">
      <c r="A651" s="8">
        <v>2017</v>
      </c>
      <c r="B651" s="9">
        <v>11</v>
      </c>
      <c r="C651" s="17" t="s">
        <v>47</v>
      </c>
      <c r="D651" s="64" t="s">
        <v>82</v>
      </c>
      <c r="E651" s="9">
        <v>6212.9500850000004</v>
      </c>
      <c r="F651" s="9">
        <v>29</v>
      </c>
      <c r="G651" s="9">
        <v>214.24</v>
      </c>
      <c r="H651" s="9">
        <v>4.1071419999999996</v>
      </c>
      <c r="I651" s="9">
        <v>0</v>
      </c>
      <c r="J651" s="9">
        <v>0</v>
      </c>
      <c r="K651" s="62" t="s">
        <v>44</v>
      </c>
      <c r="L651" s="63" t="str">
        <f t="shared" si="20"/>
        <v>Nov-2017</v>
      </c>
      <c r="M651" s="29">
        <f t="shared" si="21"/>
        <v>43040</v>
      </c>
    </row>
    <row r="652" spans="1:13" ht="21" x14ac:dyDescent="0.35">
      <c r="A652" s="8">
        <v>2017</v>
      </c>
      <c r="B652" s="9">
        <v>11</v>
      </c>
      <c r="C652" s="17" t="s">
        <v>125</v>
      </c>
      <c r="D652" s="64" t="s">
        <v>99</v>
      </c>
      <c r="E652" s="9">
        <v>5355.3900599999997</v>
      </c>
      <c r="F652" s="9">
        <v>40</v>
      </c>
      <c r="G652" s="9">
        <v>133.88</v>
      </c>
      <c r="H652" s="9">
        <v>3.2749999999999999</v>
      </c>
      <c r="I652" s="9">
        <v>0</v>
      </c>
      <c r="J652" s="9">
        <v>0</v>
      </c>
      <c r="K652" s="62" t="s">
        <v>44</v>
      </c>
      <c r="L652" s="63" t="str">
        <f t="shared" si="20"/>
        <v>Nov-2017</v>
      </c>
      <c r="M652" s="29">
        <f t="shared" si="21"/>
        <v>43040</v>
      </c>
    </row>
    <row r="653" spans="1:13" ht="21" x14ac:dyDescent="0.35">
      <c r="A653" s="8">
        <v>2017</v>
      </c>
      <c r="B653" s="9">
        <v>11</v>
      </c>
      <c r="C653" s="17" t="s">
        <v>76</v>
      </c>
      <c r="D653" s="64" t="s">
        <v>88</v>
      </c>
      <c r="E653" s="9">
        <v>5007.3899920000003</v>
      </c>
      <c r="F653" s="9">
        <v>28</v>
      </c>
      <c r="G653" s="9">
        <v>178.84</v>
      </c>
      <c r="H653" s="9">
        <v>4.0357139999999996</v>
      </c>
      <c r="I653" s="9">
        <v>0</v>
      </c>
      <c r="J653" s="9">
        <v>0</v>
      </c>
      <c r="K653" s="62" t="s">
        <v>44</v>
      </c>
      <c r="L653" s="63" t="str">
        <f t="shared" si="20"/>
        <v>Nov-2017</v>
      </c>
      <c r="M653" s="29">
        <f t="shared" si="21"/>
        <v>43040</v>
      </c>
    </row>
    <row r="654" spans="1:13" ht="21" x14ac:dyDescent="0.35">
      <c r="A654" s="8">
        <v>2017</v>
      </c>
      <c r="B654" s="9">
        <v>11</v>
      </c>
      <c r="C654" s="17" t="s">
        <v>77</v>
      </c>
      <c r="D654" s="64" t="s">
        <v>97</v>
      </c>
      <c r="E654" s="9">
        <v>4936.7199989999999</v>
      </c>
      <c r="F654" s="9">
        <v>33</v>
      </c>
      <c r="G654" s="9">
        <v>149.6</v>
      </c>
      <c r="H654" s="9">
        <v>3.90625</v>
      </c>
      <c r="I654" s="9">
        <v>0</v>
      </c>
      <c r="J654" s="9">
        <v>0</v>
      </c>
      <c r="K654" s="62" t="s">
        <v>44</v>
      </c>
      <c r="L654" s="63" t="str">
        <f t="shared" si="20"/>
        <v>Nov-2017</v>
      </c>
      <c r="M654" s="29">
        <f t="shared" si="21"/>
        <v>43040</v>
      </c>
    </row>
    <row r="655" spans="1:13" ht="21" x14ac:dyDescent="0.35">
      <c r="A655" s="8">
        <v>2017</v>
      </c>
      <c r="B655" s="9">
        <v>11</v>
      </c>
      <c r="C655" s="17" t="s">
        <v>94</v>
      </c>
      <c r="D655" s="64" t="s">
        <v>79</v>
      </c>
      <c r="E655" s="9">
        <v>4854.9300800000001</v>
      </c>
      <c r="F655" s="9">
        <v>13</v>
      </c>
      <c r="G655" s="9">
        <v>373.46</v>
      </c>
      <c r="H655" s="9">
        <v>3.5384609999999999</v>
      </c>
      <c r="I655" s="9">
        <v>0</v>
      </c>
      <c r="J655" s="9">
        <v>0</v>
      </c>
      <c r="K655" s="62" t="s">
        <v>44</v>
      </c>
      <c r="L655" s="63" t="str">
        <f t="shared" si="20"/>
        <v>Nov-2017</v>
      </c>
      <c r="M655" s="29">
        <f t="shared" si="21"/>
        <v>43040</v>
      </c>
    </row>
    <row r="656" spans="1:13" ht="21" x14ac:dyDescent="0.35">
      <c r="A656" s="8">
        <v>2017</v>
      </c>
      <c r="B656" s="9">
        <v>11</v>
      </c>
      <c r="C656" s="17" t="s">
        <v>103</v>
      </c>
      <c r="D656" s="64" t="s">
        <v>96</v>
      </c>
      <c r="E656" s="9">
        <v>4515.9400079999996</v>
      </c>
      <c r="F656" s="9">
        <v>25</v>
      </c>
      <c r="G656" s="9">
        <v>180.64</v>
      </c>
      <c r="H656" s="9">
        <v>3.8</v>
      </c>
      <c r="I656" s="9">
        <v>0</v>
      </c>
      <c r="J656" s="9">
        <v>0</v>
      </c>
      <c r="K656" s="62" t="s">
        <v>44</v>
      </c>
      <c r="L656" s="63" t="str">
        <f t="shared" si="20"/>
        <v>Nov-2017</v>
      </c>
      <c r="M656" s="29">
        <f t="shared" si="21"/>
        <v>43040</v>
      </c>
    </row>
    <row r="657" spans="1:13" ht="21" x14ac:dyDescent="0.35">
      <c r="A657" s="8">
        <v>2017</v>
      </c>
      <c r="B657" s="9">
        <v>11</v>
      </c>
      <c r="C657" s="17" t="s">
        <v>109</v>
      </c>
      <c r="D657" s="64" t="s">
        <v>54</v>
      </c>
      <c r="E657" s="9">
        <v>4076.619995</v>
      </c>
      <c r="F657" s="9">
        <v>16</v>
      </c>
      <c r="G657" s="9">
        <v>254.79</v>
      </c>
      <c r="H657" s="9">
        <v>3.9333330000000002</v>
      </c>
      <c r="I657" s="9">
        <v>0</v>
      </c>
      <c r="J657" s="9">
        <v>0</v>
      </c>
      <c r="K657" s="62" t="s">
        <v>44</v>
      </c>
      <c r="L657" s="63" t="str">
        <f t="shared" si="20"/>
        <v>Nov-2017</v>
      </c>
      <c r="M657" s="29">
        <f t="shared" si="21"/>
        <v>43040</v>
      </c>
    </row>
    <row r="658" spans="1:13" ht="21" x14ac:dyDescent="0.35">
      <c r="A658" s="8">
        <v>2017</v>
      </c>
      <c r="B658" s="9">
        <v>11</v>
      </c>
      <c r="C658" s="17" t="s">
        <v>115</v>
      </c>
      <c r="D658" s="64" t="s">
        <v>69</v>
      </c>
      <c r="E658" s="9">
        <v>3677.2299290000001</v>
      </c>
      <c r="F658" s="9">
        <v>33</v>
      </c>
      <c r="G658" s="9">
        <v>111.43</v>
      </c>
      <c r="H658" s="9">
        <v>3.6060599999999998</v>
      </c>
      <c r="I658" s="9">
        <v>0</v>
      </c>
      <c r="J658" s="9">
        <v>0</v>
      </c>
      <c r="K658" s="62" t="s">
        <v>44</v>
      </c>
      <c r="L658" s="63" t="str">
        <f t="shared" si="20"/>
        <v>Nov-2017</v>
      </c>
      <c r="M658" s="29">
        <f t="shared" si="21"/>
        <v>43040</v>
      </c>
    </row>
    <row r="659" spans="1:13" ht="21" x14ac:dyDescent="0.35">
      <c r="A659" s="8">
        <v>2017</v>
      </c>
      <c r="B659" s="9">
        <v>11</v>
      </c>
      <c r="C659" s="17" t="s">
        <v>118</v>
      </c>
      <c r="D659" s="64" t="s">
        <v>100</v>
      </c>
      <c r="E659" s="9">
        <v>3318.5899490000002</v>
      </c>
      <c r="F659" s="9">
        <v>13</v>
      </c>
      <c r="G659" s="9">
        <v>255.28</v>
      </c>
      <c r="H659" s="9">
        <v>4.1538459999999997</v>
      </c>
      <c r="I659" s="9">
        <v>0</v>
      </c>
      <c r="J659" s="9">
        <v>0</v>
      </c>
      <c r="K659" s="62" t="s">
        <v>44</v>
      </c>
      <c r="L659" s="63" t="str">
        <f t="shared" si="20"/>
        <v>Nov-2017</v>
      </c>
      <c r="M659" s="29">
        <f t="shared" si="21"/>
        <v>43040</v>
      </c>
    </row>
    <row r="660" spans="1:13" ht="21" x14ac:dyDescent="0.35">
      <c r="A660" s="8">
        <v>2017</v>
      </c>
      <c r="B660" s="9">
        <v>11</v>
      </c>
      <c r="C660" s="17" t="s">
        <v>120</v>
      </c>
      <c r="D660" s="64" t="s">
        <v>71</v>
      </c>
      <c r="E660" s="9">
        <v>2664.9600070000001</v>
      </c>
      <c r="F660" s="9">
        <v>38</v>
      </c>
      <c r="G660" s="9">
        <v>70.13</v>
      </c>
      <c r="H660" s="9">
        <v>4.1621620000000004</v>
      </c>
      <c r="I660" s="9">
        <v>1</v>
      </c>
      <c r="J660" s="9">
        <v>2.63</v>
      </c>
      <c r="K660" s="62" t="s">
        <v>44</v>
      </c>
      <c r="L660" s="63" t="str">
        <f t="shared" si="20"/>
        <v>Nov-2017</v>
      </c>
      <c r="M660" s="29">
        <f t="shared" si="21"/>
        <v>43040</v>
      </c>
    </row>
    <row r="661" spans="1:13" ht="21" x14ac:dyDescent="0.35">
      <c r="A661" s="8">
        <v>2017</v>
      </c>
      <c r="B661" s="9">
        <v>11</v>
      </c>
      <c r="C661" s="17" t="s">
        <v>124</v>
      </c>
      <c r="D661" s="64" t="s">
        <v>106</v>
      </c>
      <c r="E661" s="9">
        <v>2445.5700069999998</v>
      </c>
      <c r="F661" s="9">
        <v>28</v>
      </c>
      <c r="G661" s="9">
        <v>87.34</v>
      </c>
      <c r="H661" s="9">
        <v>3.9285709999999998</v>
      </c>
      <c r="I661" s="9">
        <v>0</v>
      </c>
      <c r="J661" s="9">
        <v>0</v>
      </c>
      <c r="K661" s="62" t="s">
        <v>44</v>
      </c>
      <c r="L661" s="63" t="str">
        <f t="shared" si="20"/>
        <v>Nov-2017</v>
      </c>
      <c r="M661" s="29">
        <f t="shared" si="21"/>
        <v>43040</v>
      </c>
    </row>
    <row r="662" spans="1:13" ht="21" x14ac:dyDescent="0.35">
      <c r="A662" s="8">
        <v>2017</v>
      </c>
      <c r="B662" s="9">
        <v>11</v>
      </c>
      <c r="C662" s="17" t="s">
        <v>42</v>
      </c>
      <c r="D662" s="64" t="s">
        <v>121</v>
      </c>
      <c r="E662" s="9">
        <v>2199.48</v>
      </c>
      <c r="F662" s="9">
        <v>9</v>
      </c>
      <c r="G662" s="9">
        <v>244.39</v>
      </c>
      <c r="H662" s="9">
        <v>3.6666660000000002</v>
      </c>
      <c r="I662" s="9">
        <v>0</v>
      </c>
      <c r="J662" s="9">
        <v>0</v>
      </c>
      <c r="K662" s="62" t="s">
        <v>44</v>
      </c>
      <c r="L662" s="63" t="str">
        <f t="shared" si="20"/>
        <v>Nov-2017</v>
      </c>
      <c r="M662" s="29">
        <f t="shared" si="21"/>
        <v>43040</v>
      </c>
    </row>
    <row r="663" spans="1:13" ht="21" x14ac:dyDescent="0.35">
      <c r="A663" s="8">
        <v>2017</v>
      </c>
      <c r="B663" s="9">
        <v>11</v>
      </c>
      <c r="C663" s="17" t="s">
        <v>47</v>
      </c>
      <c r="D663" s="64" t="s">
        <v>67</v>
      </c>
      <c r="E663" s="9">
        <v>2074.7699929999999</v>
      </c>
      <c r="F663" s="9">
        <v>7</v>
      </c>
      <c r="G663" s="9">
        <v>296.39999999999998</v>
      </c>
      <c r="H663" s="9">
        <v>4</v>
      </c>
      <c r="I663" s="9">
        <v>0</v>
      </c>
      <c r="J663" s="9">
        <v>0</v>
      </c>
      <c r="K663" s="62" t="s">
        <v>44</v>
      </c>
      <c r="L663" s="63" t="str">
        <f t="shared" si="20"/>
        <v>Nov-2017</v>
      </c>
      <c r="M663" s="29">
        <f t="shared" si="21"/>
        <v>43040</v>
      </c>
    </row>
    <row r="664" spans="1:13" ht="21" x14ac:dyDescent="0.35">
      <c r="A664" s="8">
        <v>2017</v>
      </c>
      <c r="B664" s="9">
        <v>11</v>
      </c>
      <c r="C664" s="17" t="s">
        <v>125</v>
      </c>
      <c r="D664" s="64" t="s">
        <v>74</v>
      </c>
      <c r="E664" s="9">
        <v>1777.700008</v>
      </c>
      <c r="F664" s="9">
        <v>18</v>
      </c>
      <c r="G664" s="9">
        <v>98.76</v>
      </c>
      <c r="H664" s="9">
        <v>4.1176469999999998</v>
      </c>
      <c r="I664" s="9">
        <v>1</v>
      </c>
      <c r="J664" s="9">
        <v>5.56</v>
      </c>
      <c r="K664" s="62" t="s">
        <v>44</v>
      </c>
      <c r="L664" s="63" t="str">
        <f t="shared" si="20"/>
        <v>Nov-2017</v>
      </c>
      <c r="M664" s="29">
        <f t="shared" si="21"/>
        <v>43040</v>
      </c>
    </row>
    <row r="665" spans="1:13" ht="21" x14ac:dyDescent="0.35">
      <c r="A665" s="8">
        <v>2017</v>
      </c>
      <c r="B665" s="9">
        <v>11</v>
      </c>
      <c r="C665" s="17" t="s">
        <v>76</v>
      </c>
      <c r="D665" s="64" t="s">
        <v>59</v>
      </c>
      <c r="E665" s="9">
        <v>1355.9800049999999</v>
      </c>
      <c r="F665" s="9">
        <v>11</v>
      </c>
      <c r="G665" s="9">
        <v>123.27</v>
      </c>
      <c r="H665" s="9">
        <v>4.4545450000000004</v>
      </c>
      <c r="I665" s="9">
        <v>0</v>
      </c>
      <c r="J665" s="9">
        <v>0</v>
      </c>
      <c r="K665" s="62" t="s">
        <v>44</v>
      </c>
      <c r="L665" s="63" t="str">
        <f t="shared" si="20"/>
        <v>Nov-2017</v>
      </c>
      <c r="M665" s="29">
        <f t="shared" si="21"/>
        <v>43040</v>
      </c>
    </row>
    <row r="666" spans="1:13" ht="21" x14ac:dyDescent="0.35">
      <c r="A666" s="8">
        <v>2017</v>
      </c>
      <c r="B666" s="9">
        <v>11</v>
      </c>
      <c r="C666" s="17" t="s">
        <v>77</v>
      </c>
      <c r="D666" s="64" t="s">
        <v>113</v>
      </c>
      <c r="E666" s="9">
        <v>1340.5799930000001</v>
      </c>
      <c r="F666" s="9">
        <v>20</v>
      </c>
      <c r="G666" s="9">
        <v>67.03</v>
      </c>
      <c r="H666" s="9">
        <v>3.5</v>
      </c>
      <c r="I666" s="9">
        <v>1</v>
      </c>
      <c r="J666" s="9">
        <v>5</v>
      </c>
      <c r="K666" s="62" t="s">
        <v>44</v>
      </c>
      <c r="L666" s="63" t="str">
        <f t="shared" si="20"/>
        <v>Nov-2017</v>
      </c>
      <c r="M666" s="29">
        <f t="shared" si="21"/>
        <v>43040</v>
      </c>
    </row>
    <row r="667" spans="1:13" ht="21" x14ac:dyDescent="0.35">
      <c r="A667" s="8">
        <v>2017</v>
      </c>
      <c r="B667" s="9">
        <v>11</v>
      </c>
      <c r="C667" s="17" t="s">
        <v>94</v>
      </c>
      <c r="D667" s="64" t="s">
        <v>87</v>
      </c>
      <c r="E667" s="9">
        <v>1221.6000059999999</v>
      </c>
      <c r="F667" s="9">
        <v>10</v>
      </c>
      <c r="G667" s="9">
        <v>122.16</v>
      </c>
      <c r="H667" s="9">
        <v>3.2</v>
      </c>
      <c r="I667" s="9">
        <v>0</v>
      </c>
      <c r="J667" s="9">
        <v>0</v>
      </c>
      <c r="K667" s="62" t="s">
        <v>44</v>
      </c>
      <c r="L667" s="63" t="str">
        <f t="shared" si="20"/>
        <v>Nov-2017</v>
      </c>
      <c r="M667" s="29">
        <f t="shared" si="21"/>
        <v>43040</v>
      </c>
    </row>
    <row r="668" spans="1:13" ht="21" x14ac:dyDescent="0.35">
      <c r="A668" s="8">
        <v>2017</v>
      </c>
      <c r="B668" s="9">
        <v>11</v>
      </c>
      <c r="C668" s="17" t="s">
        <v>103</v>
      </c>
      <c r="D668" s="64" t="s">
        <v>98</v>
      </c>
      <c r="E668" s="9">
        <v>1218.500004</v>
      </c>
      <c r="F668" s="9">
        <v>14</v>
      </c>
      <c r="G668" s="9">
        <v>87.04</v>
      </c>
      <c r="H668" s="9">
        <v>3.8571420000000001</v>
      </c>
      <c r="I668" s="9">
        <v>0</v>
      </c>
      <c r="J668" s="9">
        <v>0</v>
      </c>
      <c r="K668" s="62" t="s">
        <v>44</v>
      </c>
      <c r="L668" s="63" t="str">
        <f t="shared" si="20"/>
        <v>Nov-2017</v>
      </c>
      <c r="M668" s="29">
        <f t="shared" si="21"/>
        <v>43040</v>
      </c>
    </row>
    <row r="669" spans="1:13" ht="21" x14ac:dyDescent="0.35">
      <c r="A669" s="8">
        <v>2017</v>
      </c>
      <c r="B669" s="9">
        <v>11</v>
      </c>
      <c r="C669" s="17" t="s">
        <v>109</v>
      </c>
      <c r="D669" s="64" t="s">
        <v>63</v>
      </c>
      <c r="E669" s="9">
        <v>943.97999000000004</v>
      </c>
      <c r="F669" s="9">
        <v>5</v>
      </c>
      <c r="G669" s="9">
        <v>188.8</v>
      </c>
      <c r="H669" s="9">
        <v>4</v>
      </c>
      <c r="I669" s="9">
        <v>0</v>
      </c>
      <c r="J669" s="9">
        <v>0</v>
      </c>
      <c r="K669" s="62" t="s">
        <v>44</v>
      </c>
      <c r="L669" s="63" t="str">
        <f t="shared" si="20"/>
        <v>Nov-2017</v>
      </c>
      <c r="M669" s="29">
        <f t="shared" si="21"/>
        <v>43040</v>
      </c>
    </row>
    <row r="670" spans="1:13" ht="21" x14ac:dyDescent="0.35">
      <c r="A670" s="8">
        <v>2017</v>
      </c>
      <c r="B670" s="9">
        <v>11</v>
      </c>
      <c r="C670" s="17" t="s">
        <v>115</v>
      </c>
      <c r="D670" s="64" t="s">
        <v>75</v>
      </c>
      <c r="E670" s="9">
        <v>929.98998830000005</v>
      </c>
      <c r="F670" s="9">
        <v>11</v>
      </c>
      <c r="G670" s="9">
        <v>84.54</v>
      </c>
      <c r="H670" s="9">
        <v>3.3636360000000001</v>
      </c>
      <c r="I670" s="9">
        <v>1</v>
      </c>
      <c r="J670" s="9">
        <v>9.09</v>
      </c>
      <c r="K670" s="62" t="s">
        <v>44</v>
      </c>
      <c r="L670" s="63" t="str">
        <f t="shared" si="20"/>
        <v>Nov-2017</v>
      </c>
      <c r="M670" s="29">
        <f t="shared" si="21"/>
        <v>43040</v>
      </c>
    </row>
    <row r="671" spans="1:13" ht="21" x14ac:dyDescent="0.35">
      <c r="A671" s="8">
        <v>2017</v>
      </c>
      <c r="B671" s="9">
        <v>11</v>
      </c>
      <c r="C671" s="17" t="s">
        <v>118</v>
      </c>
      <c r="D671" s="64" t="s">
        <v>89</v>
      </c>
      <c r="E671" s="9">
        <v>873</v>
      </c>
      <c r="F671" s="9">
        <v>3</v>
      </c>
      <c r="G671" s="9">
        <v>291</v>
      </c>
      <c r="H671" s="9">
        <v>3.3333330000000001</v>
      </c>
      <c r="I671" s="9">
        <v>0</v>
      </c>
      <c r="J671" s="9">
        <v>0</v>
      </c>
      <c r="K671" s="62" t="s">
        <v>44</v>
      </c>
      <c r="L671" s="63" t="str">
        <f t="shared" si="20"/>
        <v>Nov-2017</v>
      </c>
      <c r="M671" s="29">
        <f t="shared" si="21"/>
        <v>43040</v>
      </c>
    </row>
    <row r="672" spans="1:13" ht="21" x14ac:dyDescent="0.35">
      <c r="A672" s="8">
        <v>2017</v>
      </c>
      <c r="B672" s="9">
        <v>11</v>
      </c>
      <c r="C672" s="17" t="s">
        <v>120</v>
      </c>
      <c r="D672" s="64" t="s">
        <v>123</v>
      </c>
      <c r="E672" s="9">
        <v>870.6900177</v>
      </c>
      <c r="F672" s="9">
        <v>4</v>
      </c>
      <c r="G672" s="9">
        <v>217.67</v>
      </c>
      <c r="H672" s="9">
        <v>3.75</v>
      </c>
      <c r="I672" s="9">
        <v>0</v>
      </c>
      <c r="J672" s="9">
        <v>0</v>
      </c>
      <c r="K672" s="62" t="s">
        <v>44</v>
      </c>
      <c r="L672" s="63" t="str">
        <f t="shared" si="20"/>
        <v>Nov-2017</v>
      </c>
      <c r="M672" s="29">
        <f t="shared" si="21"/>
        <v>43040</v>
      </c>
    </row>
    <row r="673" spans="1:13" ht="21" x14ac:dyDescent="0.35">
      <c r="A673" s="8">
        <v>2017</v>
      </c>
      <c r="B673" s="9">
        <v>11</v>
      </c>
      <c r="C673" s="17" t="s">
        <v>124</v>
      </c>
      <c r="D673" s="64" t="s">
        <v>68</v>
      </c>
      <c r="E673" s="9">
        <v>768.90000150000003</v>
      </c>
      <c r="F673" s="9">
        <v>5</v>
      </c>
      <c r="G673" s="9">
        <v>153.78</v>
      </c>
      <c r="H673" s="9">
        <v>4.2</v>
      </c>
      <c r="I673" s="9">
        <v>0</v>
      </c>
      <c r="J673" s="9">
        <v>0</v>
      </c>
      <c r="K673" s="62" t="s">
        <v>44</v>
      </c>
      <c r="L673" s="63" t="str">
        <f t="shared" si="20"/>
        <v>Nov-2017</v>
      </c>
      <c r="M673" s="29">
        <f t="shared" si="21"/>
        <v>43040</v>
      </c>
    </row>
    <row r="674" spans="1:13" ht="21" x14ac:dyDescent="0.35">
      <c r="A674" s="8">
        <v>2017</v>
      </c>
      <c r="B674" s="9">
        <v>11</v>
      </c>
      <c r="C674" s="17" t="s">
        <v>42</v>
      </c>
      <c r="D674" s="64" t="s">
        <v>104</v>
      </c>
      <c r="E674" s="9">
        <v>748.60999679999998</v>
      </c>
      <c r="F674" s="9">
        <v>15</v>
      </c>
      <c r="G674" s="9">
        <v>49.91</v>
      </c>
      <c r="H674" s="9">
        <v>3.9333330000000002</v>
      </c>
      <c r="I674" s="9">
        <v>0</v>
      </c>
      <c r="J674" s="9">
        <v>0</v>
      </c>
      <c r="K674" s="62" t="s">
        <v>44</v>
      </c>
      <c r="L674" s="63" t="str">
        <f t="shared" si="20"/>
        <v>Nov-2017</v>
      </c>
      <c r="M674" s="29">
        <f t="shared" si="21"/>
        <v>43040</v>
      </c>
    </row>
    <row r="675" spans="1:13" ht="21" x14ac:dyDescent="0.35">
      <c r="A675" s="8">
        <v>2017</v>
      </c>
      <c r="B675" s="9">
        <v>11</v>
      </c>
      <c r="C675" s="17" t="s">
        <v>47</v>
      </c>
      <c r="D675" s="64" t="s">
        <v>107</v>
      </c>
      <c r="E675" s="9">
        <v>596.7900009</v>
      </c>
      <c r="F675" s="9">
        <v>3</v>
      </c>
      <c r="G675" s="9">
        <v>198.93</v>
      </c>
      <c r="H675" s="9">
        <v>1</v>
      </c>
      <c r="I675" s="9">
        <v>0</v>
      </c>
      <c r="J675" s="9">
        <v>0</v>
      </c>
      <c r="K675" s="62" t="s">
        <v>44</v>
      </c>
      <c r="L675" s="63" t="str">
        <f t="shared" si="20"/>
        <v>Nov-2017</v>
      </c>
      <c r="M675" s="29">
        <f t="shared" si="21"/>
        <v>43040</v>
      </c>
    </row>
    <row r="676" spans="1:13" ht="21" x14ac:dyDescent="0.35">
      <c r="A676" s="8">
        <v>2017</v>
      </c>
      <c r="B676" s="9">
        <v>11</v>
      </c>
      <c r="C676" s="17" t="s">
        <v>125</v>
      </c>
      <c r="D676" s="64" t="s">
        <v>72</v>
      </c>
      <c r="E676" s="9">
        <v>556.95000460000006</v>
      </c>
      <c r="F676" s="9">
        <v>11</v>
      </c>
      <c r="G676" s="9">
        <v>50.63</v>
      </c>
      <c r="H676" s="9">
        <v>4.3</v>
      </c>
      <c r="I676" s="9">
        <v>0</v>
      </c>
      <c r="J676" s="9">
        <v>0</v>
      </c>
      <c r="K676" s="62" t="s">
        <v>44</v>
      </c>
      <c r="L676" s="63" t="str">
        <f t="shared" si="20"/>
        <v>Nov-2017</v>
      </c>
      <c r="M676" s="29">
        <f t="shared" si="21"/>
        <v>43040</v>
      </c>
    </row>
    <row r="677" spans="1:13" ht="21" x14ac:dyDescent="0.35">
      <c r="A677" s="8">
        <v>2017</v>
      </c>
      <c r="B677" s="9">
        <v>11</v>
      </c>
      <c r="C677" s="17" t="s">
        <v>76</v>
      </c>
      <c r="D677" s="64" t="s">
        <v>95</v>
      </c>
      <c r="E677" s="9">
        <v>350.4000072</v>
      </c>
      <c r="F677" s="9">
        <v>6</v>
      </c>
      <c r="G677" s="9">
        <v>58.4</v>
      </c>
      <c r="H677" s="9">
        <v>4</v>
      </c>
      <c r="I677" s="9">
        <v>0</v>
      </c>
      <c r="J677" s="9">
        <v>0</v>
      </c>
      <c r="K677" s="62" t="s">
        <v>44</v>
      </c>
      <c r="L677" s="63" t="str">
        <f t="shared" si="20"/>
        <v>Nov-2017</v>
      </c>
      <c r="M677" s="29">
        <f t="shared" si="21"/>
        <v>43040</v>
      </c>
    </row>
    <row r="678" spans="1:13" ht="21" x14ac:dyDescent="0.35">
      <c r="A678" s="8">
        <v>2017</v>
      </c>
      <c r="B678" s="9">
        <v>11</v>
      </c>
      <c r="C678" s="17" t="s">
        <v>77</v>
      </c>
      <c r="D678" s="64" t="s">
        <v>112</v>
      </c>
      <c r="E678" s="9">
        <v>334</v>
      </c>
      <c r="F678" s="9">
        <v>2</v>
      </c>
      <c r="G678" s="9">
        <v>167</v>
      </c>
      <c r="H678" s="9">
        <v>3</v>
      </c>
      <c r="I678" s="9">
        <v>0</v>
      </c>
      <c r="J678" s="9">
        <v>0</v>
      </c>
      <c r="K678" s="62" t="s">
        <v>44</v>
      </c>
      <c r="L678" s="63" t="str">
        <f t="shared" si="20"/>
        <v>Nov-2017</v>
      </c>
      <c r="M678" s="29">
        <f t="shared" si="21"/>
        <v>43040</v>
      </c>
    </row>
    <row r="679" spans="1:13" ht="21" x14ac:dyDescent="0.35">
      <c r="A679" s="8">
        <v>2017</v>
      </c>
      <c r="B679" s="9">
        <v>11</v>
      </c>
      <c r="C679" s="17" t="s">
        <v>94</v>
      </c>
      <c r="D679" s="64" t="s">
        <v>101</v>
      </c>
      <c r="E679" s="9">
        <v>324</v>
      </c>
      <c r="F679" s="9">
        <v>3</v>
      </c>
      <c r="G679" s="9">
        <v>108</v>
      </c>
      <c r="H679" s="9">
        <v>5</v>
      </c>
      <c r="I679" s="9">
        <v>0</v>
      </c>
      <c r="J679" s="9">
        <v>0</v>
      </c>
      <c r="K679" s="62" t="s">
        <v>44</v>
      </c>
      <c r="L679" s="63" t="str">
        <f t="shared" si="20"/>
        <v>Nov-2017</v>
      </c>
      <c r="M679" s="29">
        <f t="shared" si="21"/>
        <v>43040</v>
      </c>
    </row>
    <row r="680" spans="1:13" ht="21" x14ac:dyDescent="0.35">
      <c r="A680" s="8">
        <v>2017</v>
      </c>
      <c r="B680" s="9">
        <v>11</v>
      </c>
      <c r="C680" s="17" t="s">
        <v>103</v>
      </c>
      <c r="D680" s="64" t="s">
        <v>110</v>
      </c>
      <c r="E680" s="9">
        <v>269.4999924</v>
      </c>
      <c r="F680" s="9">
        <v>4</v>
      </c>
      <c r="G680" s="9">
        <v>67.37</v>
      </c>
      <c r="H680" s="9">
        <v>4</v>
      </c>
      <c r="I680" s="9">
        <v>0</v>
      </c>
      <c r="J680" s="9">
        <v>0</v>
      </c>
      <c r="K680" s="62" t="s">
        <v>44</v>
      </c>
      <c r="L680" s="63" t="str">
        <f t="shared" si="20"/>
        <v>Nov-2017</v>
      </c>
      <c r="M680" s="29">
        <f t="shared" si="21"/>
        <v>43040</v>
      </c>
    </row>
    <row r="681" spans="1:13" ht="21" x14ac:dyDescent="0.35">
      <c r="A681" s="8">
        <v>2017</v>
      </c>
      <c r="B681" s="9">
        <v>11</v>
      </c>
      <c r="C681" s="17" t="s">
        <v>109</v>
      </c>
      <c r="D681" s="64" t="s">
        <v>102</v>
      </c>
      <c r="E681" s="9">
        <v>242</v>
      </c>
      <c r="F681" s="9">
        <v>1</v>
      </c>
      <c r="G681" s="9">
        <v>242</v>
      </c>
      <c r="H681" s="9">
        <v>1</v>
      </c>
      <c r="I681" s="9">
        <v>0</v>
      </c>
      <c r="J681" s="9">
        <v>0</v>
      </c>
      <c r="K681" s="62" t="s">
        <v>44</v>
      </c>
      <c r="L681" s="63" t="str">
        <f t="shared" si="20"/>
        <v>Nov-2017</v>
      </c>
      <c r="M681" s="29">
        <f t="shared" si="21"/>
        <v>43040</v>
      </c>
    </row>
    <row r="682" spans="1:13" ht="21" x14ac:dyDescent="0.35">
      <c r="A682" s="8">
        <v>2017</v>
      </c>
      <c r="B682" s="9">
        <v>11</v>
      </c>
      <c r="C682" s="17" t="s">
        <v>115</v>
      </c>
      <c r="D682" s="64" t="s">
        <v>122</v>
      </c>
      <c r="E682" s="9">
        <v>195</v>
      </c>
      <c r="F682" s="9">
        <v>3</v>
      </c>
      <c r="G682" s="9">
        <v>65</v>
      </c>
      <c r="H682" s="9">
        <v>5</v>
      </c>
      <c r="I682" s="9">
        <v>0</v>
      </c>
      <c r="J682" s="9">
        <v>0</v>
      </c>
      <c r="K682" s="62" t="s">
        <v>44</v>
      </c>
      <c r="L682" s="63" t="str">
        <f t="shared" si="20"/>
        <v>Nov-2017</v>
      </c>
      <c r="M682" s="29">
        <f t="shared" si="21"/>
        <v>43040</v>
      </c>
    </row>
    <row r="683" spans="1:13" ht="21" x14ac:dyDescent="0.35">
      <c r="A683" s="8">
        <v>2017</v>
      </c>
      <c r="B683" s="9">
        <v>11</v>
      </c>
      <c r="C683" s="17" t="s">
        <v>118</v>
      </c>
      <c r="D683" s="64" t="s">
        <v>126</v>
      </c>
      <c r="E683" s="9">
        <v>187.8000011</v>
      </c>
      <c r="F683" s="9">
        <v>6</v>
      </c>
      <c r="G683" s="9">
        <v>31.3</v>
      </c>
      <c r="H683" s="9">
        <v>4.3333329999999997</v>
      </c>
      <c r="I683" s="9">
        <v>0</v>
      </c>
      <c r="J683" s="9">
        <v>0</v>
      </c>
      <c r="K683" s="62" t="s">
        <v>44</v>
      </c>
      <c r="L683" s="63" t="str">
        <f t="shared" si="20"/>
        <v>Nov-2017</v>
      </c>
      <c r="M683" s="29">
        <f t="shared" si="21"/>
        <v>43040</v>
      </c>
    </row>
    <row r="684" spans="1:13" ht="21" x14ac:dyDescent="0.35">
      <c r="A684" s="8">
        <v>2017</v>
      </c>
      <c r="B684" s="9">
        <v>11</v>
      </c>
      <c r="C684" s="17" t="s">
        <v>120</v>
      </c>
      <c r="D684" s="64" t="s">
        <v>114</v>
      </c>
      <c r="E684" s="9">
        <v>137</v>
      </c>
      <c r="F684" s="9">
        <v>1</v>
      </c>
      <c r="G684" s="9">
        <v>137</v>
      </c>
      <c r="H684" s="9" t="s">
        <v>0</v>
      </c>
      <c r="I684" s="9">
        <v>0</v>
      </c>
      <c r="J684" s="9">
        <v>0</v>
      </c>
      <c r="K684" s="62" t="s">
        <v>44</v>
      </c>
      <c r="L684" s="63" t="str">
        <f t="shared" si="20"/>
        <v>Nov-2017</v>
      </c>
      <c r="M684" s="29">
        <f t="shared" si="21"/>
        <v>43040</v>
      </c>
    </row>
    <row r="685" spans="1:13" ht="21" x14ac:dyDescent="0.35">
      <c r="A685" s="8">
        <v>2017</v>
      </c>
      <c r="B685" s="9">
        <v>11</v>
      </c>
      <c r="C685" s="17" t="s">
        <v>124</v>
      </c>
      <c r="D685" s="64" t="s">
        <v>73</v>
      </c>
      <c r="E685" s="9">
        <v>79.879999159999997</v>
      </c>
      <c r="F685" s="9">
        <v>3</v>
      </c>
      <c r="G685" s="9">
        <v>26.63</v>
      </c>
      <c r="H685" s="9">
        <v>2.5</v>
      </c>
      <c r="I685" s="9">
        <v>0</v>
      </c>
      <c r="J685" s="9">
        <v>0</v>
      </c>
      <c r="K685" s="62" t="s">
        <v>44</v>
      </c>
      <c r="L685" s="63" t="str">
        <f t="shared" si="20"/>
        <v>Nov-2017</v>
      </c>
      <c r="M685" s="29">
        <f t="shared" si="21"/>
        <v>43040</v>
      </c>
    </row>
    <row r="686" spans="1:13" ht="21" x14ac:dyDescent="0.35">
      <c r="A686" s="8">
        <v>2017</v>
      </c>
      <c r="B686" s="9">
        <v>11</v>
      </c>
      <c r="C686" s="17" t="s">
        <v>42</v>
      </c>
      <c r="D686" s="64" t="s">
        <v>92</v>
      </c>
      <c r="E686" s="9">
        <v>79.790000919999997</v>
      </c>
      <c r="F686" s="9">
        <v>3</v>
      </c>
      <c r="G686" s="9">
        <v>26.6</v>
      </c>
      <c r="H686" s="9">
        <v>3.6666660000000002</v>
      </c>
      <c r="I686" s="9">
        <v>0</v>
      </c>
      <c r="J686" s="9">
        <v>0</v>
      </c>
      <c r="K686" s="62" t="s">
        <v>44</v>
      </c>
      <c r="L686" s="63" t="str">
        <f t="shared" si="20"/>
        <v>Nov-2017</v>
      </c>
      <c r="M686" s="29">
        <f t="shared" si="21"/>
        <v>43040</v>
      </c>
    </row>
    <row r="687" spans="1:13" ht="21" x14ac:dyDescent="0.35">
      <c r="A687" s="8">
        <v>2017</v>
      </c>
      <c r="B687" s="9">
        <v>11</v>
      </c>
      <c r="C687" s="17" t="s">
        <v>47</v>
      </c>
      <c r="D687" s="64" t="s">
        <v>105</v>
      </c>
      <c r="E687" s="9">
        <v>75</v>
      </c>
      <c r="F687" s="9">
        <v>1</v>
      </c>
      <c r="G687" s="9">
        <v>75</v>
      </c>
      <c r="H687" s="9">
        <v>5</v>
      </c>
      <c r="I687" s="9">
        <v>0</v>
      </c>
      <c r="J687" s="9">
        <v>0</v>
      </c>
      <c r="K687" s="62" t="s">
        <v>44</v>
      </c>
      <c r="L687" s="63" t="str">
        <f t="shared" si="20"/>
        <v>Nov-2017</v>
      </c>
      <c r="M687" s="29">
        <f t="shared" si="21"/>
        <v>43040</v>
      </c>
    </row>
    <row r="688" spans="1:13" ht="21" x14ac:dyDescent="0.35">
      <c r="A688" s="8">
        <v>2017</v>
      </c>
      <c r="B688" s="9">
        <v>11</v>
      </c>
      <c r="C688" s="17" t="s">
        <v>125</v>
      </c>
      <c r="D688" s="64" t="s">
        <v>108</v>
      </c>
      <c r="E688" s="9">
        <v>59.900001529999997</v>
      </c>
      <c r="F688" s="9">
        <v>1</v>
      </c>
      <c r="G688" s="9">
        <v>59.9</v>
      </c>
      <c r="H688" s="9">
        <v>5</v>
      </c>
      <c r="I688" s="9">
        <v>0</v>
      </c>
      <c r="J688" s="9">
        <v>0</v>
      </c>
      <c r="K688" s="62" t="s">
        <v>44</v>
      </c>
      <c r="L688" s="63" t="str">
        <f t="shared" si="20"/>
        <v>Nov-2017</v>
      </c>
      <c r="M688" s="29">
        <f t="shared" si="21"/>
        <v>43040</v>
      </c>
    </row>
    <row r="689" spans="1:13" ht="21" x14ac:dyDescent="0.35">
      <c r="A689" s="8">
        <v>2017</v>
      </c>
      <c r="B689" s="9">
        <v>11</v>
      </c>
      <c r="C689" s="17" t="s">
        <v>76</v>
      </c>
      <c r="D689" s="64" t="s">
        <v>90</v>
      </c>
      <c r="E689" s="9">
        <v>38.699998860000001</v>
      </c>
      <c r="F689" s="9">
        <v>3</v>
      </c>
      <c r="G689" s="9">
        <v>12.9</v>
      </c>
      <c r="H689" s="9">
        <v>3.6666660000000002</v>
      </c>
      <c r="I689" s="9">
        <v>0</v>
      </c>
      <c r="J689" s="9">
        <v>0</v>
      </c>
      <c r="K689" s="62" t="s">
        <v>44</v>
      </c>
      <c r="L689" s="63" t="str">
        <f t="shared" si="20"/>
        <v>Nov-2017</v>
      </c>
      <c r="M689" s="29">
        <f t="shared" si="21"/>
        <v>43040</v>
      </c>
    </row>
    <row r="690" spans="1:13" ht="21" x14ac:dyDescent="0.35">
      <c r="A690" s="8">
        <v>2017</v>
      </c>
      <c r="B690" s="9">
        <v>12</v>
      </c>
      <c r="C690" s="17" t="s">
        <v>77</v>
      </c>
      <c r="D690" s="64" t="s">
        <v>51</v>
      </c>
      <c r="E690" s="9">
        <v>71727.619690000007</v>
      </c>
      <c r="F690" s="9">
        <v>346</v>
      </c>
      <c r="G690" s="9">
        <v>207.31</v>
      </c>
      <c r="H690" s="9">
        <v>4.0408160000000004</v>
      </c>
      <c r="I690" s="9">
        <v>1</v>
      </c>
      <c r="J690" s="9">
        <v>0.28999999999999998</v>
      </c>
      <c r="K690" s="62" t="s">
        <v>44</v>
      </c>
      <c r="L690" s="63" t="str">
        <f t="shared" si="20"/>
        <v>Dec-2017</v>
      </c>
      <c r="M690" s="29">
        <f t="shared" si="21"/>
        <v>43070</v>
      </c>
    </row>
    <row r="691" spans="1:13" ht="21" x14ac:dyDescent="0.35">
      <c r="A691" s="8">
        <v>2017</v>
      </c>
      <c r="B691" s="9">
        <v>12</v>
      </c>
      <c r="C691" s="17" t="s">
        <v>94</v>
      </c>
      <c r="D691" s="64" t="s">
        <v>43</v>
      </c>
      <c r="E691" s="9">
        <v>61264.659890000003</v>
      </c>
      <c r="F691" s="9">
        <v>432</v>
      </c>
      <c r="G691" s="9">
        <v>141.82</v>
      </c>
      <c r="H691" s="9">
        <v>4.1581390000000003</v>
      </c>
      <c r="I691" s="9">
        <v>0</v>
      </c>
      <c r="J691" s="9">
        <v>0</v>
      </c>
      <c r="K691" s="62" t="s">
        <v>44</v>
      </c>
      <c r="L691" s="63" t="str">
        <f t="shared" si="20"/>
        <v>Dec-2017</v>
      </c>
      <c r="M691" s="29">
        <f t="shared" si="21"/>
        <v>43070</v>
      </c>
    </row>
    <row r="692" spans="1:13" ht="21" x14ac:dyDescent="0.35">
      <c r="A692" s="8">
        <v>2017</v>
      </c>
      <c r="B692" s="9">
        <v>12</v>
      </c>
      <c r="C692" s="17" t="s">
        <v>103</v>
      </c>
      <c r="D692" s="64" t="s">
        <v>52</v>
      </c>
      <c r="E692" s="9">
        <v>59792.65999</v>
      </c>
      <c r="F692" s="9">
        <v>440</v>
      </c>
      <c r="G692" s="9">
        <v>135.88999999999999</v>
      </c>
      <c r="H692" s="9">
        <v>4.1235689999999998</v>
      </c>
      <c r="I692" s="9">
        <v>1</v>
      </c>
      <c r="J692" s="9">
        <v>0.23</v>
      </c>
      <c r="K692" s="62" t="s">
        <v>44</v>
      </c>
      <c r="L692" s="63" t="str">
        <f t="shared" si="20"/>
        <v>Dec-2017</v>
      </c>
      <c r="M692" s="29">
        <f t="shared" si="21"/>
        <v>43070</v>
      </c>
    </row>
    <row r="693" spans="1:13" ht="21" x14ac:dyDescent="0.35">
      <c r="A693" s="8">
        <v>2017</v>
      </c>
      <c r="B693" s="9">
        <v>12</v>
      </c>
      <c r="C693" s="17" t="s">
        <v>109</v>
      </c>
      <c r="D693" s="64" t="s">
        <v>49</v>
      </c>
      <c r="E693" s="9">
        <v>57194.139949999997</v>
      </c>
      <c r="F693" s="9">
        <v>421</v>
      </c>
      <c r="G693" s="9">
        <v>135.85</v>
      </c>
      <c r="H693" s="9">
        <v>3.939759</v>
      </c>
      <c r="I693" s="9">
        <v>1</v>
      </c>
      <c r="J693" s="9">
        <v>0.24</v>
      </c>
      <c r="K693" s="62" t="s">
        <v>44</v>
      </c>
      <c r="L693" s="63" t="str">
        <f t="shared" si="20"/>
        <v>Dec-2017</v>
      </c>
      <c r="M693" s="29">
        <f t="shared" si="21"/>
        <v>43070</v>
      </c>
    </row>
    <row r="694" spans="1:13" ht="21" x14ac:dyDescent="0.35">
      <c r="A694" s="8">
        <v>2017</v>
      </c>
      <c r="B694" s="9">
        <v>12</v>
      </c>
      <c r="C694" s="17" t="s">
        <v>115</v>
      </c>
      <c r="D694" s="64" t="s">
        <v>66</v>
      </c>
      <c r="E694" s="9">
        <v>50505.849970000003</v>
      </c>
      <c r="F694" s="9">
        <v>481</v>
      </c>
      <c r="G694" s="9">
        <v>105</v>
      </c>
      <c r="H694" s="9">
        <v>3.8981089999999998</v>
      </c>
      <c r="I694" s="9">
        <v>0</v>
      </c>
      <c r="J694" s="9">
        <v>0</v>
      </c>
      <c r="K694" s="62" t="s">
        <v>44</v>
      </c>
      <c r="L694" s="63" t="str">
        <f t="shared" si="20"/>
        <v>Dec-2017</v>
      </c>
      <c r="M694" s="29">
        <f t="shared" si="21"/>
        <v>43070</v>
      </c>
    </row>
    <row r="695" spans="1:13" ht="21" x14ac:dyDescent="0.35">
      <c r="A695" s="8">
        <v>2017</v>
      </c>
      <c r="B695" s="9">
        <v>12</v>
      </c>
      <c r="C695" s="17" t="s">
        <v>118</v>
      </c>
      <c r="D695" s="64" t="s">
        <v>53</v>
      </c>
      <c r="E695" s="9">
        <v>39287.639969999997</v>
      </c>
      <c r="F695" s="9">
        <v>243</v>
      </c>
      <c r="G695" s="9">
        <v>161.68</v>
      </c>
      <c r="H695" s="9">
        <v>3.9330539999999998</v>
      </c>
      <c r="I695" s="9">
        <v>0</v>
      </c>
      <c r="J695" s="9">
        <v>0</v>
      </c>
      <c r="K695" s="62" t="s">
        <v>44</v>
      </c>
      <c r="L695" s="63" t="str">
        <f t="shared" si="20"/>
        <v>Dec-2017</v>
      </c>
      <c r="M695" s="29">
        <f t="shared" si="21"/>
        <v>43070</v>
      </c>
    </row>
    <row r="696" spans="1:13" ht="21" x14ac:dyDescent="0.35">
      <c r="A696" s="8">
        <v>2017</v>
      </c>
      <c r="B696" s="9">
        <v>12</v>
      </c>
      <c r="C696" s="17" t="s">
        <v>120</v>
      </c>
      <c r="D696" s="64" t="s">
        <v>62</v>
      </c>
      <c r="E696" s="9">
        <v>39011.540130000001</v>
      </c>
      <c r="F696" s="9">
        <v>235</v>
      </c>
      <c r="G696" s="9">
        <v>166.01</v>
      </c>
      <c r="H696" s="9">
        <v>4.0652169999999996</v>
      </c>
      <c r="I696" s="9">
        <v>1</v>
      </c>
      <c r="J696" s="9">
        <v>0.43</v>
      </c>
      <c r="K696" s="62" t="s">
        <v>44</v>
      </c>
      <c r="L696" s="63" t="str">
        <f t="shared" si="20"/>
        <v>Dec-2017</v>
      </c>
      <c r="M696" s="29">
        <f t="shared" si="21"/>
        <v>43070</v>
      </c>
    </row>
    <row r="697" spans="1:13" ht="21" x14ac:dyDescent="0.35">
      <c r="A697" s="8">
        <v>2017</v>
      </c>
      <c r="B697" s="9">
        <v>12</v>
      </c>
      <c r="C697" s="17" t="s">
        <v>124</v>
      </c>
      <c r="D697" s="64" t="s">
        <v>56</v>
      </c>
      <c r="E697" s="9">
        <v>37880.650159999997</v>
      </c>
      <c r="F697" s="9">
        <v>252</v>
      </c>
      <c r="G697" s="9">
        <v>150.32</v>
      </c>
      <c r="H697" s="9">
        <v>4.0502000000000002</v>
      </c>
      <c r="I697" s="9">
        <v>0</v>
      </c>
      <c r="J697" s="9">
        <v>0</v>
      </c>
      <c r="K697" s="62" t="s">
        <v>44</v>
      </c>
      <c r="L697" s="63" t="str">
        <f t="shared" si="20"/>
        <v>Dec-2017</v>
      </c>
      <c r="M697" s="29">
        <f t="shared" si="21"/>
        <v>43070</v>
      </c>
    </row>
    <row r="698" spans="1:13" ht="21" x14ac:dyDescent="0.35">
      <c r="A698" s="8">
        <v>2017</v>
      </c>
      <c r="B698" s="9">
        <v>12</v>
      </c>
      <c r="C698" s="17" t="s">
        <v>42</v>
      </c>
      <c r="D698" s="64" t="s">
        <v>45</v>
      </c>
      <c r="E698" s="9">
        <v>32011.75013</v>
      </c>
      <c r="F698" s="9">
        <v>315</v>
      </c>
      <c r="G698" s="9">
        <v>101.62</v>
      </c>
      <c r="H698" s="9">
        <v>3.9839220000000002</v>
      </c>
      <c r="I698" s="9">
        <v>0</v>
      </c>
      <c r="J698" s="9">
        <v>0</v>
      </c>
      <c r="K698" s="62" t="s">
        <v>44</v>
      </c>
      <c r="L698" s="63" t="str">
        <f t="shared" si="20"/>
        <v>Dec-2017</v>
      </c>
      <c r="M698" s="29">
        <f t="shared" si="21"/>
        <v>43070</v>
      </c>
    </row>
    <row r="699" spans="1:13" ht="21" x14ac:dyDescent="0.35">
      <c r="A699" s="8">
        <v>2017</v>
      </c>
      <c r="B699" s="9">
        <v>12</v>
      </c>
      <c r="C699" s="17" t="s">
        <v>47</v>
      </c>
      <c r="D699" s="64" t="s">
        <v>48</v>
      </c>
      <c r="E699" s="9">
        <v>27864.429899999999</v>
      </c>
      <c r="F699" s="9">
        <v>233</v>
      </c>
      <c r="G699" s="9">
        <v>119.59</v>
      </c>
      <c r="H699" s="9">
        <v>4.1502140000000001</v>
      </c>
      <c r="I699" s="9">
        <v>0</v>
      </c>
      <c r="J699" s="9">
        <v>0</v>
      </c>
      <c r="K699" s="62" t="s">
        <v>44</v>
      </c>
      <c r="L699" s="63" t="str">
        <f t="shared" si="20"/>
        <v>Dec-2017</v>
      </c>
      <c r="M699" s="29">
        <f t="shared" si="21"/>
        <v>43070</v>
      </c>
    </row>
    <row r="700" spans="1:13" ht="21" x14ac:dyDescent="0.35">
      <c r="A700" s="8">
        <v>2017</v>
      </c>
      <c r="B700" s="9">
        <v>12</v>
      </c>
      <c r="C700" s="17" t="s">
        <v>125</v>
      </c>
      <c r="D700" s="64" t="s">
        <v>57</v>
      </c>
      <c r="E700" s="9">
        <v>27689.690070000001</v>
      </c>
      <c r="F700" s="9">
        <v>245</v>
      </c>
      <c r="G700" s="9">
        <v>113.02</v>
      </c>
      <c r="H700" s="9">
        <v>4.0619829999999997</v>
      </c>
      <c r="I700" s="9">
        <v>1</v>
      </c>
      <c r="J700" s="9">
        <v>0.41</v>
      </c>
      <c r="K700" s="62" t="s">
        <v>44</v>
      </c>
      <c r="L700" s="63" t="str">
        <f t="shared" si="20"/>
        <v>Dec-2017</v>
      </c>
      <c r="M700" s="29">
        <f t="shared" si="21"/>
        <v>43070</v>
      </c>
    </row>
    <row r="701" spans="1:13" ht="21" x14ac:dyDescent="0.35">
      <c r="A701" s="8">
        <v>2017</v>
      </c>
      <c r="B701" s="9">
        <v>12</v>
      </c>
      <c r="C701" s="17" t="s">
        <v>76</v>
      </c>
      <c r="D701" s="64" t="s">
        <v>61</v>
      </c>
      <c r="E701" s="9">
        <v>25921.950089999998</v>
      </c>
      <c r="F701" s="9">
        <v>249</v>
      </c>
      <c r="G701" s="9">
        <v>104.1</v>
      </c>
      <c r="H701" s="9">
        <v>3.947368</v>
      </c>
      <c r="I701" s="9">
        <v>0</v>
      </c>
      <c r="J701" s="9">
        <v>0</v>
      </c>
      <c r="K701" s="62" t="s">
        <v>44</v>
      </c>
      <c r="L701" s="63" t="str">
        <f t="shared" si="20"/>
        <v>Dec-2017</v>
      </c>
      <c r="M701" s="29">
        <f t="shared" si="21"/>
        <v>43070</v>
      </c>
    </row>
    <row r="702" spans="1:13" ht="21" x14ac:dyDescent="0.35">
      <c r="A702" s="8">
        <v>2017</v>
      </c>
      <c r="B702" s="9">
        <v>12</v>
      </c>
      <c r="C702" s="17" t="s">
        <v>77</v>
      </c>
      <c r="D702" s="64" t="s">
        <v>81</v>
      </c>
      <c r="E702" s="9">
        <v>25730.999930000002</v>
      </c>
      <c r="F702" s="9">
        <v>231</v>
      </c>
      <c r="G702" s="9">
        <v>111.39</v>
      </c>
      <c r="H702" s="9">
        <v>4.0782600000000002</v>
      </c>
      <c r="I702" s="9">
        <v>0</v>
      </c>
      <c r="J702" s="9">
        <v>0</v>
      </c>
      <c r="K702" s="62" t="s">
        <v>44</v>
      </c>
      <c r="L702" s="63" t="str">
        <f t="shared" si="20"/>
        <v>Dec-2017</v>
      </c>
      <c r="M702" s="29">
        <f t="shared" si="21"/>
        <v>43070</v>
      </c>
    </row>
    <row r="703" spans="1:13" ht="21" x14ac:dyDescent="0.35">
      <c r="A703" s="8">
        <v>2017</v>
      </c>
      <c r="B703" s="9">
        <v>12</v>
      </c>
      <c r="C703" s="17" t="s">
        <v>94</v>
      </c>
      <c r="D703" s="64" t="s">
        <v>55</v>
      </c>
      <c r="E703" s="9">
        <v>19943.08005</v>
      </c>
      <c r="F703" s="9">
        <v>139</v>
      </c>
      <c r="G703" s="9">
        <v>143.47999999999999</v>
      </c>
      <c r="H703" s="9">
        <v>3.794117</v>
      </c>
      <c r="I703" s="9">
        <v>0</v>
      </c>
      <c r="J703" s="9">
        <v>0</v>
      </c>
      <c r="K703" s="62" t="s">
        <v>44</v>
      </c>
      <c r="L703" s="63" t="str">
        <f t="shared" si="20"/>
        <v>Dec-2017</v>
      </c>
      <c r="M703" s="29">
        <f t="shared" si="21"/>
        <v>43070</v>
      </c>
    </row>
    <row r="704" spans="1:13" ht="21" x14ac:dyDescent="0.35">
      <c r="A704" s="8">
        <v>2017</v>
      </c>
      <c r="B704" s="9">
        <v>12</v>
      </c>
      <c r="C704" s="17" t="s">
        <v>103</v>
      </c>
      <c r="D704" s="64" t="s">
        <v>78</v>
      </c>
      <c r="E704" s="9">
        <v>16741</v>
      </c>
      <c r="F704" s="9">
        <v>19</v>
      </c>
      <c r="G704" s="9">
        <v>881.11</v>
      </c>
      <c r="H704" s="9">
        <v>3.4444439999999998</v>
      </c>
      <c r="I704" s="9">
        <v>0</v>
      </c>
      <c r="J704" s="9">
        <v>0</v>
      </c>
      <c r="K704" s="62" t="s">
        <v>44</v>
      </c>
      <c r="L704" s="63" t="str">
        <f t="shared" si="20"/>
        <v>Dec-2017</v>
      </c>
      <c r="M704" s="29">
        <f t="shared" si="21"/>
        <v>43070</v>
      </c>
    </row>
    <row r="705" spans="1:13" ht="21" x14ac:dyDescent="0.35">
      <c r="A705" s="8">
        <v>2017</v>
      </c>
      <c r="B705" s="9">
        <v>12</v>
      </c>
      <c r="C705" s="17" t="s">
        <v>109</v>
      </c>
      <c r="D705" s="64" t="s">
        <v>0</v>
      </c>
      <c r="E705" s="9">
        <v>16224.919819999999</v>
      </c>
      <c r="F705" s="9">
        <v>137</v>
      </c>
      <c r="G705" s="9">
        <v>118.43</v>
      </c>
      <c r="H705" s="9" t="s">
        <v>0</v>
      </c>
      <c r="I705" s="9" t="s">
        <v>0</v>
      </c>
      <c r="J705" s="9" t="s">
        <v>0</v>
      </c>
      <c r="K705" s="62" t="s">
        <v>44</v>
      </c>
      <c r="L705" s="63" t="str">
        <f t="shared" si="20"/>
        <v>Dec-2017</v>
      </c>
      <c r="M705" s="29">
        <f t="shared" si="21"/>
        <v>43070</v>
      </c>
    </row>
    <row r="706" spans="1:13" ht="21" x14ac:dyDescent="0.35">
      <c r="A706" s="8">
        <v>2017</v>
      </c>
      <c r="B706" s="9">
        <v>12</v>
      </c>
      <c r="C706" s="17" t="s">
        <v>115</v>
      </c>
      <c r="D706" s="64" t="s">
        <v>46</v>
      </c>
      <c r="E706" s="9">
        <v>13611.00986</v>
      </c>
      <c r="F706" s="9">
        <v>244</v>
      </c>
      <c r="G706" s="9">
        <v>55.78</v>
      </c>
      <c r="H706" s="9">
        <v>4.0580910000000001</v>
      </c>
      <c r="I706" s="9">
        <v>0</v>
      </c>
      <c r="J706" s="9">
        <v>0</v>
      </c>
      <c r="K706" s="62" t="s">
        <v>44</v>
      </c>
      <c r="L706" s="63" t="str">
        <f t="shared" ref="L706:L769" si="22">TEXT(DATE(A706,B706,1),"mmm-yyyy")</f>
        <v>Dec-2017</v>
      </c>
      <c r="M706" s="29">
        <f t="shared" ref="M706:M769" si="23">DATE(A706,B706,1)</f>
        <v>43070</v>
      </c>
    </row>
    <row r="707" spans="1:13" ht="21" x14ac:dyDescent="0.35">
      <c r="A707" s="8">
        <v>2017</v>
      </c>
      <c r="B707" s="9">
        <v>12</v>
      </c>
      <c r="C707" s="17" t="s">
        <v>118</v>
      </c>
      <c r="D707" s="64" t="s">
        <v>84</v>
      </c>
      <c r="E707" s="9">
        <v>10823.49999</v>
      </c>
      <c r="F707" s="9">
        <v>41</v>
      </c>
      <c r="G707" s="9">
        <v>263.99</v>
      </c>
      <c r="H707" s="9">
        <v>3.9487169999999998</v>
      </c>
      <c r="I707" s="9">
        <v>0</v>
      </c>
      <c r="J707" s="9">
        <v>0</v>
      </c>
      <c r="K707" s="62" t="s">
        <v>44</v>
      </c>
      <c r="L707" s="63" t="str">
        <f t="shared" si="22"/>
        <v>Dec-2017</v>
      </c>
      <c r="M707" s="29">
        <f t="shared" si="23"/>
        <v>43070</v>
      </c>
    </row>
    <row r="708" spans="1:13" ht="21" x14ac:dyDescent="0.35">
      <c r="A708" s="8">
        <v>2017</v>
      </c>
      <c r="B708" s="9">
        <v>12</v>
      </c>
      <c r="C708" s="17" t="s">
        <v>120</v>
      </c>
      <c r="D708" s="64" t="s">
        <v>65</v>
      </c>
      <c r="E708" s="9">
        <v>10028.460010000001</v>
      </c>
      <c r="F708" s="9">
        <v>124</v>
      </c>
      <c r="G708" s="9">
        <v>80.87</v>
      </c>
      <c r="H708" s="9">
        <v>4.2016119999999999</v>
      </c>
      <c r="I708" s="9">
        <v>0</v>
      </c>
      <c r="J708" s="9">
        <v>0</v>
      </c>
      <c r="K708" s="62" t="s">
        <v>44</v>
      </c>
      <c r="L708" s="63" t="str">
        <f t="shared" si="22"/>
        <v>Dec-2017</v>
      </c>
      <c r="M708" s="29">
        <f t="shared" si="23"/>
        <v>43070</v>
      </c>
    </row>
    <row r="709" spans="1:13" ht="21" x14ac:dyDescent="0.35">
      <c r="A709" s="8">
        <v>2017</v>
      </c>
      <c r="B709" s="9">
        <v>12</v>
      </c>
      <c r="C709" s="17" t="s">
        <v>124</v>
      </c>
      <c r="D709" s="64" t="s">
        <v>50</v>
      </c>
      <c r="E709" s="9">
        <v>9075.0099950000003</v>
      </c>
      <c r="F709" s="9">
        <v>88</v>
      </c>
      <c r="G709" s="9">
        <v>103.13</v>
      </c>
      <c r="H709" s="9">
        <v>4.193181</v>
      </c>
      <c r="I709" s="9">
        <v>0</v>
      </c>
      <c r="J709" s="9">
        <v>0</v>
      </c>
      <c r="K709" s="62" t="s">
        <v>44</v>
      </c>
      <c r="L709" s="63" t="str">
        <f t="shared" si="22"/>
        <v>Dec-2017</v>
      </c>
      <c r="M709" s="29">
        <f t="shared" si="23"/>
        <v>43070</v>
      </c>
    </row>
    <row r="710" spans="1:13" ht="21" x14ac:dyDescent="0.35">
      <c r="A710" s="8">
        <v>2017</v>
      </c>
      <c r="B710" s="9">
        <v>12</v>
      </c>
      <c r="C710" s="17" t="s">
        <v>42</v>
      </c>
      <c r="D710" s="64" t="s">
        <v>80</v>
      </c>
      <c r="E710" s="9">
        <v>8913.7699790000006</v>
      </c>
      <c r="F710" s="9">
        <v>28</v>
      </c>
      <c r="G710" s="9">
        <v>318.35000000000002</v>
      </c>
      <c r="H710" s="9">
        <v>3.8571420000000001</v>
      </c>
      <c r="I710" s="9">
        <v>0</v>
      </c>
      <c r="J710" s="9">
        <v>0</v>
      </c>
      <c r="K710" s="62" t="s">
        <v>44</v>
      </c>
      <c r="L710" s="63" t="str">
        <f t="shared" si="22"/>
        <v>Dec-2017</v>
      </c>
      <c r="M710" s="29">
        <f t="shared" si="23"/>
        <v>43070</v>
      </c>
    </row>
    <row r="711" spans="1:13" ht="21" x14ac:dyDescent="0.35">
      <c r="A711" s="8">
        <v>2017</v>
      </c>
      <c r="B711" s="9">
        <v>12</v>
      </c>
      <c r="C711" s="17" t="s">
        <v>47</v>
      </c>
      <c r="D711" s="64" t="s">
        <v>58</v>
      </c>
      <c r="E711" s="9">
        <v>8537.5099320000008</v>
      </c>
      <c r="F711" s="9">
        <v>190</v>
      </c>
      <c r="G711" s="9">
        <v>44.93</v>
      </c>
      <c r="H711" s="9">
        <v>4.1052629999999999</v>
      </c>
      <c r="I711" s="9">
        <v>0</v>
      </c>
      <c r="J711" s="9">
        <v>0</v>
      </c>
      <c r="K711" s="62" t="s">
        <v>44</v>
      </c>
      <c r="L711" s="63" t="str">
        <f t="shared" si="22"/>
        <v>Dec-2017</v>
      </c>
      <c r="M711" s="29">
        <f t="shared" si="23"/>
        <v>43070</v>
      </c>
    </row>
    <row r="712" spans="1:13" ht="21" x14ac:dyDescent="0.35">
      <c r="A712" s="8">
        <v>2017</v>
      </c>
      <c r="B712" s="9">
        <v>12</v>
      </c>
      <c r="C712" s="17" t="s">
        <v>125</v>
      </c>
      <c r="D712" s="64" t="s">
        <v>64</v>
      </c>
      <c r="E712" s="9">
        <v>7227.230055</v>
      </c>
      <c r="F712" s="9">
        <v>71</v>
      </c>
      <c r="G712" s="9">
        <v>101.79</v>
      </c>
      <c r="H712" s="9">
        <v>4.2428569999999999</v>
      </c>
      <c r="I712" s="9">
        <v>0</v>
      </c>
      <c r="J712" s="9">
        <v>0</v>
      </c>
      <c r="K712" s="62" t="s">
        <v>44</v>
      </c>
      <c r="L712" s="63" t="str">
        <f t="shared" si="22"/>
        <v>Dec-2017</v>
      </c>
      <c r="M712" s="29">
        <f t="shared" si="23"/>
        <v>43070</v>
      </c>
    </row>
    <row r="713" spans="1:13" ht="21" x14ac:dyDescent="0.35">
      <c r="A713" s="8">
        <v>2017</v>
      </c>
      <c r="B713" s="9">
        <v>12</v>
      </c>
      <c r="C713" s="17" t="s">
        <v>76</v>
      </c>
      <c r="D713" s="64" t="s">
        <v>60</v>
      </c>
      <c r="E713" s="9">
        <v>6964.3600159999996</v>
      </c>
      <c r="F713" s="9">
        <v>39</v>
      </c>
      <c r="G713" s="9">
        <v>178.57</v>
      </c>
      <c r="H713" s="9">
        <v>3.5</v>
      </c>
      <c r="I713" s="9">
        <v>0</v>
      </c>
      <c r="J713" s="9">
        <v>0</v>
      </c>
      <c r="K713" s="62" t="s">
        <v>44</v>
      </c>
      <c r="L713" s="63" t="str">
        <f t="shared" si="22"/>
        <v>Dec-2017</v>
      </c>
      <c r="M713" s="29">
        <f t="shared" si="23"/>
        <v>43070</v>
      </c>
    </row>
    <row r="714" spans="1:13" ht="21" x14ac:dyDescent="0.35">
      <c r="A714" s="8">
        <v>2017</v>
      </c>
      <c r="B714" s="9">
        <v>12</v>
      </c>
      <c r="C714" s="17" t="s">
        <v>77</v>
      </c>
      <c r="D714" s="64" t="s">
        <v>97</v>
      </c>
      <c r="E714" s="9">
        <v>6735.3000300000003</v>
      </c>
      <c r="F714" s="9">
        <v>30</v>
      </c>
      <c r="G714" s="9">
        <v>224.51</v>
      </c>
      <c r="H714" s="9">
        <v>3.8</v>
      </c>
      <c r="I714" s="9">
        <v>0</v>
      </c>
      <c r="J714" s="9">
        <v>0</v>
      </c>
      <c r="K714" s="62" t="s">
        <v>44</v>
      </c>
      <c r="L714" s="63" t="str">
        <f t="shared" si="22"/>
        <v>Dec-2017</v>
      </c>
      <c r="M714" s="29">
        <f t="shared" si="23"/>
        <v>43070</v>
      </c>
    </row>
    <row r="715" spans="1:13" ht="21" x14ac:dyDescent="0.35">
      <c r="A715" s="8">
        <v>2017</v>
      </c>
      <c r="B715" s="9">
        <v>12</v>
      </c>
      <c r="C715" s="17" t="s">
        <v>94</v>
      </c>
      <c r="D715" s="64" t="s">
        <v>83</v>
      </c>
      <c r="E715" s="9">
        <v>6248.2100929999997</v>
      </c>
      <c r="F715" s="9">
        <v>45</v>
      </c>
      <c r="G715" s="9">
        <v>138.85</v>
      </c>
      <c r="H715" s="9">
        <v>4.3111110000000004</v>
      </c>
      <c r="I715" s="9">
        <v>0</v>
      </c>
      <c r="J715" s="9">
        <v>0</v>
      </c>
      <c r="K715" s="62" t="s">
        <v>44</v>
      </c>
      <c r="L715" s="63" t="str">
        <f t="shared" si="22"/>
        <v>Dec-2017</v>
      </c>
      <c r="M715" s="29">
        <f t="shared" si="23"/>
        <v>43070</v>
      </c>
    </row>
    <row r="716" spans="1:13" ht="21" x14ac:dyDescent="0.35">
      <c r="A716" s="8">
        <v>2017</v>
      </c>
      <c r="B716" s="9">
        <v>12</v>
      </c>
      <c r="C716" s="17" t="s">
        <v>103</v>
      </c>
      <c r="D716" s="64" t="s">
        <v>85</v>
      </c>
      <c r="E716" s="9">
        <v>5830.3499789999996</v>
      </c>
      <c r="F716" s="9">
        <v>22</v>
      </c>
      <c r="G716" s="9">
        <v>265.02</v>
      </c>
      <c r="H716" s="9">
        <v>3.6818179999999998</v>
      </c>
      <c r="I716" s="9">
        <v>0</v>
      </c>
      <c r="J716" s="9">
        <v>0</v>
      </c>
      <c r="K716" s="62" t="s">
        <v>44</v>
      </c>
      <c r="L716" s="63" t="str">
        <f t="shared" si="22"/>
        <v>Dec-2017</v>
      </c>
      <c r="M716" s="29">
        <f t="shared" si="23"/>
        <v>43070</v>
      </c>
    </row>
    <row r="717" spans="1:13" ht="21" x14ac:dyDescent="0.35">
      <c r="A717" s="8">
        <v>2017</v>
      </c>
      <c r="B717" s="9">
        <v>12</v>
      </c>
      <c r="C717" s="17" t="s">
        <v>109</v>
      </c>
      <c r="D717" s="64" t="s">
        <v>91</v>
      </c>
      <c r="E717" s="9">
        <v>5291.7000049999997</v>
      </c>
      <c r="F717" s="9">
        <v>9</v>
      </c>
      <c r="G717" s="9">
        <v>587.97</v>
      </c>
      <c r="H717" s="9">
        <v>4.555555</v>
      </c>
      <c r="I717" s="9">
        <v>0</v>
      </c>
      <c r="J717" s="9">
        <v>0</v>
      </c>
      <c r="K717" s="62" t="s">
        <v>44</v>
      </c>
      <c r="L717" s="63" t="str">
        <f t="shared" si="22"/>
        <v>Dec-2017</v>
      </c>
      <c r="M717" s="29">
        <f t="shared" si="23"/>
        <v>43070</v>
      </c>
    </row>
    <row r="718" spans="1:13" ht="21" x14ac:dyDescent="0.35">
      <c r="A718" s="8">
        <v>2017</v>
      </c>
      <c r="B718" s="9">
        <v>12</v>
      </c>
      <c r="C718" s="17" t="s">
        <v>115</v>
      </c>
      <c r="D718" s="64" t="s">
        <v>88</v>
      </c>
      <c r="E718" s="9">
        <v>4277.2999989999998</v>
      </c>
      <c r="F718" s="9">
        <v>16</v>
      </c>
      <c r="G718" s="9">
        <v>267.33</v>
      </c>
      <c r="H718" s="9">
        <v>4</v>
      </c>
      <c r="I718" s="9">
        <v>0</v>
      </c>
      <c r="J718" s="9">
        <v>0</v>
      </c>
      <c r="K718" s="62" t="s">
        <v>44</v>
      </c>
      <c r="L718" s="63" t="str">
        <f t="shared" si="22"/>
        <v>Dec-2017</v>
      </c>
      <c r="M718" s="29">
        <f t="shared" si="23"/>
        <v>43070</v>
      </c>
    </row>
    <row r="719" spans="1:13" ht="21" x14ac:dyDescent="0.35">
      <c r="A719" s="8">
        <v>2017</v>
      </c>
      <c r="B719" s="9">
        <v>12</v>
      </c>
      <c r="C719" s="17" t="s">
        <v>118</v>
      </c>
      <c r="D719" s="64" t="s">
        <v>69</v>
      </c>
      <c r="E719" s="9">
        <v>2686.9299700000001</v>
      </c>
      <c r="F719" s="9">
        <v>17</v>
      </c>
      <c r="G719" s="9">
        <v>158.05000000000001</v>
      </c>
      <c r="H719" s="9">
        <v>4.1764700000000001</v>
      </c>
      <c r="I719" s="9">
        <v>0</v>
      </c>
      <c r="J719" s="9">
        <v>0</v>
      </c>
      <c r="K719" s="62" t="s">
        <v>44</v>
      </c>
      <c r="L719" s="63" t="str">
        <f t="shared" si="22"/>
        <v>Dec-2017</v>
      </c>
      <c r="M719" s="29">
        <f t="shared" si="23"/>
        <v>43070</v>
      </c>
    </row>
    <row r="720" spans="1:13" ht="21" x14ac:dyDescent="0.35">
      <c r="A720" s="8">
        <v>2017</v>
      </c>
      <c r="B720" s="9">
        <v>12</v>
      </c>
      <c r="C720" s="17" t="s">
        <v>120</v>
      </c>
      <c r="D720" s="64" t="s">
        <v>71</v>
      </c>
      <c r="E720" s="9">
        <v>2397.1000119999999</v>
      </c>
      <c r="F720" s="9">
        <v>38</v>
      </c>
      <c r="G720" s="9">
        <v>63.08</v>
      </c>
      <c r="H720" s="9">
        <v>4.5526309999999999</v>
      </c>
      <c r="I720" s="9">
        <v>1</v>
      </c>
      <c r="J720" s="9">
        <v>2.63</v>
      </c>
      <c r="K720" s="62" t="s">
        <v>44</v>
      </c>
      <c r="L720" s="63" t="str">
        <f t="shared" si="22"/>
        <v>Dec-2017</v>
      </c>
      <c r="M720" s="29">
        <f t="shared" si="23"/>
        <v>43070</v>
      </c>
    </row>
    <row r="721" spans="1:13" ht="21" x14ac:dyDescent="0.35">
      <c r="A721" s="8">
        <v>2017</v>
      </c>
      <c r="B721" s="9">
        <v>12</v>
      </c>
      <c r="C721" s="17" t="s">
        <v>124</v>
      </c>
      <c r="D721" s="64" t="s">
        <v>82</v>
      </c>
      <c r="E721" s="9">
        <v>2316.0100360000001</v>
      </c>
      <c r="F721" s="9">
        <v>16</v>
      </c>
      <c r="G721" s="9">
        <v>144.75</v>
      </c>
      <c r="H721" s="9">
        <v>4.25</v>
      </c>
      <c r="I721" s="9">
        <v>0</v>
      </c>
      <c r="J721" s="9">
        <v>0</v>
      </c>
      <c r="K721" s="62" t="s">
        <v>44</v>
      </c>
      <c r="L721" s="63" t="str">
        <f t="shared" si="22"/>
        <v>Dec-2017</v>
      </c>
      <c r="M721" s="29">
        <f t="shared" si="23"/>
        <v>43070</v>
      </c>
    </row>
    <row r="722" spans="1:13" ht="21" x14ac:dyDescent="0.35">
      <c r="A722" s="8">
        <v>2017</v>
      </c>
      <c r="B722" s="9">
        <v>12</v>
      </c>
      <c r="C722" s="17" t="s">
        <v>42</v>
      </c>
      <c r="D722" s="64" t="s">
        <v>99</v>
      </c>
      <c r="E722" s="9">
        <v>2257.8000029999998</v>
      </c>
      <c r="F722" s="9">
        <v>14</v>
      </c>
      <c r="G722" s="9">
        <v>161.27000000000001</v>
      </c>
      <c r="H722" s="9">
        <v>3.785714</v>
      </c>
      <c r="I722" s="9">
        <v>0</v>
      </c>
      <c r="J722" s="9">
        <v>0</v>
      </c>
      <c r="K722" s="62" t="s">
        <v>44</v>
      </c>
      <c r="L722" s="63" t="str">
        <f t="shared" si="22"/>
        <v>Dec-2017</v>
      </c>
      <c r="M722" s="29">
        <f t="shared" si="23"/>
        <v>43070</v>
      </c>
    </row>
    <row r="723" spans="1:13" ht="21" x14ac:dyDescent="0.35">
      <c r="A723" s="8">
        <v>2017</v>
      </c>
      <c r="B723" s="9">
        <v>12</v>
      </c>
      <c r="C723" s="17" t="s">
        <v>47</v>
      </c>
      <c r="D723" s="64" t="s">
        <v>104</v>
      </c>
      <c r="E723" s="9">
        <v>2132.8400360000001</v>
      </c>
      <c r="F723" s="9">
        <v>31</v>
      </c>
      <c r="G723" s="9">
        <v>68.8</v>
      </c>
      <c r="H723" s="9">
        <v>4.2258060000000004</v>
      </c>
      <c r="I723" s="9">
        <v>0</v>
      </c>
      <c r="J723" s="9">
        <v>0</v>
      </c>
      <c r="K723" s="62" t="s">
        <v>44</v>
      </c>
      <c r="L723" s="63" t="str">
        <f t="shared" si="22"/>
        <v>Dec-2017</v>
      </c>
      <c r="M723" s="29">
        <f t="shared" si="23"/>
        <v>43070</v>
      </c>
    </row>
    <row r="724" spans="1:13" ht="21" x14ac:dyDescent="0.35">
      <c r="A724" s="8">
        <v>2017</v>
      </c>
      <c r="B724" s="9">
        <v>12</v>
      </c>
      <c r="C724" s="17" t="s">
        <v>125</v>
      </c>
      <c r="D724" s="64" t="s">
        <v>79</v>
      </c>
      <c r="E724" s="9">
        <v>1990.159981</v>
      </c>
      <c r="F724" s="9">
        <v>8</v>
      </c>
      <c r="G724" s="9">
        <v>248.77</v>
      </c>
      <c r="H724" s="9">
        <v>4.125</v>
      </c>
      <c r="I724" s="9">
        <v>0</v>
      </c>
      <c r="J724" s="9">
        <v>0</v>
      </c>
      <c r="K724" s="62" t="s">
        <v>44</v>
      </c>
      <c r="L724" s="63" t="str">
        <f t="shared" si="22"/>
        <v>Dec-2017</v>
      </c>
      <c r="M724" s="29">
        <f t="shared" si="23"/>
        <v>43070</v>
      </c>
    </row>
    <row r="725" spans="1:13" ht="21" x14ac:dyDescent="0.35">
      <c r="A725" s="8">
        <v>2017</v>
      </c>
      <c r="B725" s="9">
        <v>12</v>
      </c>
      <c r="C725" s="17" t="s">
        <v>76</v>
      </c>
      <c r="D725" s="64" t="s">
        <v>67</v>
      </c>
      <c r="E725" s="9">
        <v>1828.5</v>
      </c>
      <c r="F725" s="9">
        <v>9</v>
      </c>
      <c r="G725" s="9">
        <v>203.17</v>
      </c>
      <c r="H725" s="9">
        <v>3.7777769999999999</v>
      </c>
      <c r="I725" s="9">
        <v>0</v>
      </c>
      <c r="J725" s="9">
        <v>0</v>
      </c>
      <c r="K725" s="62" t="s">
        <v>44</v>
      </c>
      <c r="L725" s="63" t="str">
        <f t="shared" si="22"/>
        <v>Dec-2017</v>
      </c>
      <c r="M725" s="29">
        <f t="shared" si="23"/>
        <v>43070</v>
      </c>
    </row>
    <row r="726" spans="1:13" ht="21" x14ac:dyDescent="0.35">
      <c r="A726" s="8">
        <v>2017</v>
      </c>
      <c r="B726" s="9">
        <v>12</v>
      </c>
      <c r="C726" s="17" t="s">
        <v>77</v>
      </c>
      <c r="D726" s="64" t="s">
        <v>100</v>
      </c>
      <c r="E726" s="9">
        <v>1384.919991</v>
      </c>
      <c r="F726" s="9">
        <v>7</v>
      </c>
      <c r="G726" s="9">
        <v>197.85</v>
      </c>
      <c r="H726" s="9">
        <v>3.8571420000000001</v>
      </c>
      <c r="I726" s="9">
        <v>0</v>
      </c>
      <c r="J726" s="9">
        <v>0</v>
      </c>
      <c r="K726" s="62" t="s">
        <v>44</v>
      </c>
      <c r="L726" s="63" t="str">
        <f t="shared" si="22"/>
        <v>Dec-2017</v>
      </c>
      <c r="M726" s="29">
        <f t="shared" si="23"/>
        <v>43070</v>
      </c>
    </row>
    <row r="727" spans="1:13" ht="21" x14ac:dyDescent="0.35">
      <c r="A727" s="8">
        <v>2017</v>
      </c>
      <c r="B727" s="9">
        <v>12</v>
      </c>
      <c r="C727" s="17" t="s">
        <v>94</v>
      </c>
      <c r="D727" s="64" t="s">
        <v>96</v>
      </c>
      <c r="E727" s="9">
        <v>1331.0000239999999</v>
      </c>
      <c r="F727" s="9">
        <v>16</v>
      </c>
      <c r="G727" s="9">
        <v>83.19</v>
      </c>
      <c r="H727" s="9">
        <v>4.1875</v>
      </c>
      <c r="I727" s="9">
        <v>0</v>
      </c>
      <c r="J727" s="9">
        <v>0</v>
      </c>
      <c r="K727" s="62" t="s">
        <v>44</v>
      </c>
      <c r="L727" s="63" t="str">
        <f t="shared" si="22"/>
        <v>Dec-2017</v>
      </c>
      <c r="M727" s="29">
        <f t="shared" si="23"/>
        <v>43070</v>
      </c>
    </row>
    <row r="728" spans="1:13" ht="21" x14ac:dyDescent="0.35">
      <c r="A728" s="8">
        <v>2017</v>
      </c>
      <c r="B728" s="9">
        <v>12</v>
      </c>
      <c r="C728" s="17" t="s">
        <v>103</v>
      </c>
      <c r="D728" s="64" t="s">
        <v>87</v>
      </c>
      <c r="E728" s="9">
        <v>1173.1000100000001</v>
      </c>
      <c r="F728" s="9">
        <v>13</v>
      </c>
      <c r="G728" s="9">
        <v>90.24</v>
      </c>
      <c r="H728" s="9">
        <v>4.2307689999999996</v>
      </c>
      <c r="I728" s="9">
        <v>0</v>
      </c>
      <c r="J728" s="9">
        <v>0</v>
      </c>
      <c r="K728" s="62" t="s">
        <v>44</v>
      </c>
      <c r="L728" s="63" t="str">
        <f t="shared" si="22"/>
        <v>Dec-2017</v>
      </c>
      <c r="M728" s="29">
        <f t="shared" si="23"/>
        <v>43070</v>
      </c>
    </row>
    <row r="729" spans="1:13" ht="21" x14ac:dyDescent="0.35">
      <c r="A729" s="8">
        <v>2017</v>
      </c>
      <c r="B729" s="9">
        <v>12</v>
      </c>
      <c r="C729" s="17" t="s">
        <v>109</v>
      </c>
      <c r="D729" s="64" t="s">
        <v>74</v>
      </c>
      <c r="E729" s="9">
        <v>1098.999996</v>
      </c>
      <c r="F729" s="9">
        <v>12</v>
      </c>
      <c r="G729" s="9">
        <v>91.58</v>
      </c>
      <c r="H729" s="9">
        <v>4.3333329999999997</v>
      </c>
      <c r="I729" s="9">
        <v>0</v>
      </c>
      <c r="J729" s="9">
        <v>0</v>
      </c>
      <c r="K729" s="62" t="s">
        <v>44</v>
      </c>
      <c r="L729" s="63" t="str">
        <f t="shared" si="22"/>
        <v>Dec-2017</v>
      </c>
      <c r="M729" s="29">
        <f t="shared" si="23"/>
        <v>43070</v>
      </c>
    </row>
    <row r="730" spans="1:13" ht="21" x14ac:dyDescent="0.35">
      <c r="A730" s="8">
        <v>2017</v>
      </c>
      <c r="B730" s="9">
        <v>12</v>
      </c>
      <c r="C730" s="17" t="s">
        <v>115</v>
      </c>
      <c r="D730" s="64" t="s">
        <v>106</v>
      </c>
      <c r="E730" s="9">
        <v>1098.6799960000001</v>
      </c>
      <c r="F730" s="9">
        <v>19</v>
      </c>
      <c r="G730" s="9">
        <v>57.83</v>
      </c>
      <c r="H730" s="9">
        <v>4.5263150000000003</v>
      </c>
      <c r="I730" s="9">
        <v>0</v>
      </c>
      <c r="J730" s="9">
        <v>0</v>
      </c>
      <c r="K730" s="62" t="s">
        <v>44</v>
      </c>
      <c r="L730" s="63" t="str">
        <f t="shared" si="22"/>
        <v>Dec-2017</v>
      </c>
      <c r="M730" s="29">
        <f t="shared" si="23"/>
        <v>43070</v>
      </c>
    </row>
    <row r="731" spans="1:13" ht="21" x14ac:dyDescent="0.35">
      <c r="A731" s="8">
        <v>2017</v>
      </c>
      <c r="B731" s="9">
        <v>12</v>
      </c>
      <c r="C731" s="17" t="s">
        <v>118</v>
      </c>
      <c r="D731" s="64" t="s">
        <v>63</v>
      </c>
      <c r="E731" s="9">
        <v>998.76998900000001</v>
      </c>
      <c r="F731" s="9">
        <v>5</v>
      </c>
      <c r="G731" s="9">
        <v>199.75</v>
      </c>
      <c r="H731" s="9">
        <v>4.4000000000000004</v>
      </c>
      <c r="I731" s="9">
        <v>0</v>
      </c>
      <c r="J731" s="9">
        <v>0</v>
      </c>
      <c r="K731" s="62" t="s">
        <v>44</v>
      </c>
      <c r="L731" s="63" t="str">
        <f t="shared" si="22"/>
        <v>Dec-2017</v>
      </c>
      <c r="M731" s="29">
        <f t="shared" si="23"/>
        <v>43070</v>
      </c>
    </row>
    <row r="732" spans="1:13" ht="21" x14ac:dyDescent="0.35">
      <c r="A732" s="8">
        <v>2017</v>
      </c>
      <c r="B732" s="9">
        <v>12</v>
      </c>
      <c r="C732" s="17" t="s">
        <v>120</v>
      </c>
      <c r="D732" s="64" t="s">
        <v>72</v>
      </c>
      <c r="E732" s="9">
        <v>978.19000240000003</v>
      </c>
      <c r="F732" s="9">
        <v>12</v>
      </c>
      <c r="G732" s="9">
        <v>81.52</v>
      </c>
      <c r="H732" s="9">
        <v>4.1818179999999998</v>
      </c>
      <c r="I732" s="9">
        <v>0</v>
      </c>
      <c r="J732" s="9">
        <v>0</v>
      </c>
      <c r="K732" s="62" t="s">
        <v>44</v>
      </c>
      <c r="L732" s="63" t="str">
        <f t="shared" si="22"/>
        <v>Dec-2017</v>
      </c>
      <c r="M732" s="29">
        <f t="shared" si="23"/>
        <v>43070</v>
      </c>
    </row>
    <row r="733" spans="1:13" ht="21" x14ac:dyDescent="0.35">
      <c r="A733" s="8">
        <v>2017</v>
      </c>
      <c r="B733" s="9">
        <v>12</v>
      </c>
      <c r="C733" s="17" t="s">
        <v>124</v>
      </c>
      <c r="D733" s="64" t="s">
        <v>98</v>
      </c>
      <c r="E733" s="9">
        <v>928.90000339999995</v>
      </c>
      <c r="F733" s="9">
        <v>6</v>
      </c>
      <c r="G733" s="9">
        <v>154.82</v>
      </c>
      <c r="H733" s="9">
        <v>4.1666660000000002</v>
      </c>
      <c r="I733" s="9">
        <v>0</v>
      </c>
      <c r="J733" s="9">
        <v>0</v>
      </c>
      <c r="K733" s="62" t="s">
        <v>44</v>
      </c>
      <c r="L733" s="63" t="str">
        <f t="shared" si="22"/>
        <v>Dec-2017</v>
      </c>
      <c r="M733" s="29">
        <f t="shared" si="23"/>
        <v>43070</v>
      </c>
    </row>
    <row r="734" spans="1:13" ht="21" x14ac:dyDescent="0.35">
      <c r="A734" s="8">
        <v>2017</v>
      </c>
      <c r="B734" s="9">
        <v>12</v>
      </c>
      <c r="C734" s="17" t="s">
        <v>42</v>
      </c>
      <c r="D734" s="64" t="s">
        <v>112</v>
      </c>
      <c r="E734" s="9">
        <v>803.7000008</v>
      </c>
      <c r="F734" s="9">
        <v>8</v>
      </c>
      <c r="G734" s="9">
        <v>100.46</v>
      </c>
      <c r="H734" s="9">
        <v>4.5</v>
      </c>
      <c r="I734" s="9">
        <v>0</v>
      </c>
      <c r="J734" s="9">
        <v>0</v>
      </c>
      <c r="K734" s="62" t="s">
        <v>44</v>
      </c>
      <c r="L734" s="63" t="str">
        <f t="shared" si="22"/>
        <v>Dec-2017</v>
      </c>
      <c r="M734" s="29">
        <f t="shared" si="23"/>
        <v>43070</v>
      </c>
    </row>
    <row r="735" spans="1:13" ht="21" x14ac:dyDescent="0.35">
      <c r="A735" s="8">
        <v>2017</v>
      </c>
      <c r="B735" s="9">
        <v>12</v>
      </c>
      <c r="C735" s="17" t="s">
        <v>47</v>
      </c>
      <c r="D735" s="64" t="s">
        <v>107</v>
      </c>
      <c r="E735" s="9">
        <v>770</v>
      </c>
      <c r="F735" s="9">
        <v>2</v>
      </c>
      <c r="G735" s="9">
        <v>385</v>
      </c>
      <c r="H735" s="9">
        <v>5</v>
      </c>
      <c r="I735" s="9">
        <v>0</v>
      </c>
      <c r="J735" s="9">
        <v>0</v>
      </c>
      <c r="K735" s="62" t="s">
        <v>44</v>
      </c>
      <c r="L735" s="63" t="str">
        <f t="shared" si="22"/>
        <v>Dec-2017</v>
      </c>
      <c r="M735" s="29">
        <f t="shared" si="23"/>
        <v>43070</v>
      </c>
    </row>
    <row r="736" spans="1:13" ht="21" x14ac:dyDescent="0.35">
      <c r="A736" s="8">
        <v>2017</v>
      </c>
      <c r="B736" s="9">
        <v>12</v>
      </c>
      <c r="C736" s="17" t="s">
        <v>125</v>
      </c>
      <c r="D736" s="64" t="s">
        <v>59</v>
      </c>
      <c r="E736" s="9">
        <v>703.25000190000003</v>
      </c>
      <c r="F736" s="9">
        <v>13</v>
      </c>
      <c r="G736" s="9">
        <v>54.1</v>
      </c>
      <c r="H736" s="9">
        <v>4.1666660000000002</v>
      </c>
      <c r="I736" s="9">
        <v>0</v>
      </c>
      <c r="J736" s="9">
        <v>0</v>
      </c>
      <c r="K736" s="62" t="s">
        <v>44</v>
      </c>
      <c r="L736" s="63" t="str">
        <f t="shared" si="22"/>
        <v>Dec-2017</v>
      </c>
      <c r="M736" s="29">
        <f t="shared" si="23"/>
        <v>43070</v>
      </c>
    </row>
    <row r="737" spans="1:13" ht="21" x14ac:dyDescent="0.35">
      <c r="A737" s="8">
        <v>2017</v>
      </c>
      <c r="B737" s="9">
        <v>12</v>
      </c>
      <c r="C737" s="17" t="s">
        <v>76</v>
      </c>
      <c r="D737" s="64" t="s">
        <v>68</v>
      </c>
      <c r="E737" s="9">
        <v>670.6900177</v>
      </c>
      <c r="F737" s="9">
        <v>4</v>
      </c>
      <c r="G737" s="9">
        <v>167.67</v>
      </c>
      <c r="H737" s="9">
        <v>4</v>
      </c>
      <c r="I737" s="9">
        <v>0</v>
      </c>
      <c r="J737" s="9">
        <v>0</v>
      </c>
      <c r="K737" s="62" t="s">
        <v>44</v>
      </c>
      <c r="L737" s="63" t="str">
        <f t="shared" si="22"/>
        <v>Dec-2017</v>
      </c>
      <c r="M737" s="29">
        <f t="shared" si="23"/>
        <v>43070</v>
      </c>
    </row>
    <row r="738" spans="1:13" ht="21" x14ac:dyDescent="0.35">
      <c r="A738" s="8">
        <v>2017</v>
      </c>
      <c r="B738" s="9">
        <v>12</v>
      </c>
      <c r="C738" s="17" t="s">
        <v>77</v>
      </c>
      <c r="D738" s="64" t="s">
        <v>54</v>
      </c>
      <c r="E738" s="9">
        <v>668.79998780000005</v>
      </c>
      <c r="F738" s="9">
        <v>3</v>
      </c>
      <c r="G738" s="9">
        <v>222.93</v>
      </c>
      <c r="H738" s="9">
        <v>4.3333329999999997</v>
      </c>
      <c r="I738" s="9">
        <v>0</v>
      </c>
      <c r="J738" s="9">
        <v>0</v>
      </c>
      <c r="K738" s="62" t="s">
        <v>44</v>
      </c>
      <c r="L738" s="63" t="str">
        <f t="shared" si="22"/>
        <v>Dec-2017</v>
      </c>
      <c r="M738" s="29">
        <f t="shared" si="23"/>
        <v>43070</v>
      </c>
    </row>
    <row r="739" spans="1:13" ht="21" x14ac:dyDescent="0.35">
      <c r="A739" s="8">
        <v>2017</v>
      </c>
      <c r="B739" s="9">
        <v>12</v>
      </c>
      <c r="C739" s="17" t="s">
        <v>94</v>
      </c>
      <c r="D739" s="64" t="s">
        <v>123</v>
      </c>
      <c r="E739" s="9">
        <v>515.20001219999995</v>
      </c>
      <c r="F739" s="9">
        <v>2</v>
      </c>
      <c r="G739" s="9">
        <v>257.60000000000002</v>
      </c>
      <c r="H739" s="9">
        <v>5</v>
      </c>
      <c r="I739" s="9">
        <v>0</v>
      </c>
      <c r="J739" s="9">
        <v>0</v>
      </c>
      <c r="K739" s="62" t="s">
        <v>44</v>
      </c>
      <c r="L739" s="63" t="str">
        <f t="shared" si="22"/>
        <v>Dec-2017</v>
      </c>
      <c r="M739" s="29">
        <f t="shared" si="23"/>
        <v>43070</v>
      </c>
    </row>
    <row r="740" spans="1:13" ht="21" x14ac:dyDescent="0.35">
      <c r="A740" s="8">
        <v>2017</v>
      </c>
      <c r="B740" s="9">
        <v>12</v>
      </c>
      <c r="C740" s="17" t="s">
        <v>103</v>
      </c>
      <c r="D740" s="64" t="s">
        <v>113</v>
      </c>
      <c r="E740" s="9">
        <v>493.90000579999997</v>
      </c>
      <c r="F740" s="9">
        <v>14</v>
      </c>
      <c r="G740" s="9">
        <v>35.28</v>
      </c>
      <c r="H740" s="9">
        <v>4.3076920000000003</v>
      </c>
      <c r="I740" s="9">
        <v>0</v>
      </c>
      <c r="J740" s="9">
        <v>0</v>
      </c>
      <c r="K740" s="62" t="s">
        <v>44</v>
      </c>
      <c r="L740" s="63" t="str">
        <f t="shared" si="22"/>
        <v>Dec-2017</v>
      </c>
      <c r="M740" s="29">
        <f t="shared" si="23"/>
        <v>43070</v>
      </c>
    </row>
    <row r="741" spans="1:13" ht="21" x14ac:dyDescent="0.35">
      <c r="A741" s="8">
        <v>2017</v>
      </c>
      <c r="B741" s="9">
        <v>12</v>
      </c>
      <c r="C741" s="17" t="s">
        <v>109</v>
      </c>
      <c r="D741" s="64" t="s">
        <v>75</v>
      </c>
      <c r="E741" s="9">
        <v>450.89000320000002</v>
      </c>
      <c r="F741" s="9">
        <v>4</v>
      </c>
      <c r="G741" s="9">
        <v>112.72</v>
      </c>
      <c r="H741" s="9">
        <v>3.75</v>
      </c>
      <c r="I741" s="9">
        <v>0</v>
      </c>
      <c r="J741" s="9">
        <v>0</v>
      </c>
      <c r="K741" s="62" t="s">
        <v>44</v>
      </c>
      <c r="L741" s="63" t="str">
        <f t="shared" si="22"/>
        <v>Dec-2017</v>
      </c>
      <c r="M741" s="29">
        <f t="shared" si="23"/>
        <v>43070</v>
      </c>
    </row>
    <row r="742" spans="1:13" ht="21" x14ac:dyDescent="0.35">
      <c r="A742" s="8">
        <v>2017</v>
      </c>
      <c r="B742" s="9">
        <v>12</v>
      </c>
      <c r="C742" s="17" t="s">
        <v>115</v>
      </c>
      <c r="D742" s="64" t="s">
        <v>95</v>
      </c>
      <c r="E742" s="9">
        <v>419.4000092</v>
      </c>
      <c r="F742" s="9">
        <v>6</v>
      </c>
      <c r="G742" s="9">
        <v>69.900000000000006</v>
      </c>
      <c r="H742" s="9">
        <v>4.6666660000000002</v>
      </c>
      <c r="I742" s="9">
        <v>0</v>
      </c>
      <c r="J742" s="9">
        <v>0</v>
      </c>
      <c r="K742" s="62" t="s">
        <v>44</v>
      </c>
      <c r="L742" s="63" t="str">
        <f t="shared" si="22"/>
        <v>Dec-2017</v>
      </c>
      <c r="M742" s="29">
        <f t="shared" si="23"/>
        <v>43070</v>
      </c>
    </row>
    <row r="743" spans="1:13" ht="21" x14ac:dyDescent="0.35">
      <c r="A743" s="8">
        <v>2017</v>
      </c>
      <c r="B743" s="9">
        <v>12</v>
      </c>
      <c r="C743" s="17" t="s">
        <v>118</v>
      </c>
      <c r="D743" s="64" t="s">
        <v>110</v>
      </c>
      <c r="E743" s="9">
        <v>349.399992</v>
      </c>
      <c r="F743" s="9">
        <v>6</v>
      </c>
      <c r="G743" s="9">
        <v>58.23</v>
      </c>
      <c r="H743" s="9">
        <v>4</v>
      </c>
      <c r="I743" s="9">
        <v>0</v>
      </c>
      <c r="J743" s="9">
        <v>0</v>
      </c>
      <c r="K743" s="62" t="s">
        <v>44</v>
      </c>
      <c r="L743" s="63" t="str">
        <f t="shared" si="22"/>
        <v>Dec-2017</v>
      </c>
      <c r="M743" s="29">
        <f t="shared" si="23"/>
        <v>43070</v>
      </c>
    </row>
    <row r="744" spans="1:13" ht="21" x14ac:dyDescent="0.35">
      <c r="A744" s="8">
        <v>2017</v>
      </c>
      <c r="B744" s="9">
        <v>12</v>
      </c>
      <c r="C744" s="17" t="s">
        <v>120</v>
      </c>
      <c r="D744" s="64" t="s">
        <v>101</v>
      </c>
      <c r="E744" s="9">
        <v>231</v>
      </c>
      <c r="F744" s="9">
        <v>3</v>
      </c>
      <c r="G744" s="9">
        <v>77</v>
      </c>
      <c r="H744" s="9">
        <v>3.3333330000000001</v>
      </c>
      <c r="I744" s="9">
        <v>0</v>
      </c>
      <c r="J744" s="9">
        <v>0</v>
      </c>
      <c r="K744" s="62" t="s">
        <v>44</v>
      </c>
      <c r="L744" s="63" t="str">
        <f t="shared" si="22"/>
        <v>Dec-2017</v>
      </c>
      <c r="M744" s="29">
        <f t="shared" si="23"/>
        <v>43070</v>
      </c>
    </row>
    <row r="745" spans="1:13" ht="21" x14ac:dyDescent="0.35">
      <c r="A745" s="8">
        <v>2017</v>
      </c>
      <c r="B745" s="9">
        <v>12</v>
      </c>
      <c r="C745" s="17" t="s">
        <v>124</v>
      </c>
      <c r="D745" s="64" t="s">
        <v>89</v>
      </c>
      <c r="E745" s="9">
        <v>185</v>
      </c>
      <c r="F745" s="9">
        <v>1</v>
      </c>
      <c r="G745" s="9">
        <v>185</v>
      </c>
      <c r="H745" s="9">
        <v>5</v>
      </c>
      <c r="I745" s="9">
        <v>0</v>
      </c>
      <c r="J745" s="9">
        <v>0</v>
      </c>
      <c r="K745" s="62" t="s">
        <v>44</v>
      </c>
      <c r="L745" s="63" t="str">
        <f t="shared" si="22"/>
        <v>Dec-2017</v>
      </c>
      <c r="M745" s="29">
        <f t="shared" si="23"/>
        <v>43070</v>
      </c>
    </row>
    <row r="746" spans="1:13" ht="21" x14ac:dyDescent="0.35">
      <c r="A746" s="8">
        <v>2017</v>
      </c>
      <c r="B746" s="9">
        <v>12</v>
      </c>
      <c r="C746" s="17" t="s">
        <v>42</v>
      </c>
      <c r="D746" s="64" t="s">
        <v>121</v>
      </c>
      <c r="E746" s="9">
        <v>176</v>
      </c>
      <c r="F746" s="9">
        <v>2</v>
      </c>
      <c r="G746" s="9">
        <v>88</v>
      </c>
      <c r="H746" s="9">
        <v>4</v>
      </c>
      <c r="I746" s="9">
        <v>0</v>
      </c>
      <c r="J746" s="9">
        <v>0</v>
      </c>
      <c r="K746" s="62" t="s">
        <v>44</v>
      </c>
      <c r="L746" s="63" t="str">
        <f t="shared" si="22"/>
        <v>Dec-2017</v>
      </c>
      <c r="M746" s="29">
        <f t="shared" si="23"/>
        <v>43070</v>
      </c>
    </row>
    <row r="747" spans="1:13" ht="21" x14ac:dyDescent="0.35">
      <c r="A747" s="8">
        <v>2017</v>
      </c>
      <c r="B747" s="9">
        <v>12</v>
      </c>
      <c r="C747" s="17" t="s">
        <v>47</v>
      </c>
      <c r="D747" s="64" t="s">
        <v>92</v>
      </c>
      <c r="E747" s="9">
        <v>119.9000015</v>
      </c>
      <c r="F747" s="9">
        <v>1</v>
      </c>
      <c r="G747" s="9">
        <v>119.9</v>
      </c>
      <c r="H747" s="9">
        <v>4</v>
      </c>
      <c r="I747" s="9">
        <v>0</v>
      </c>
      <c r="J747" s="9">
        <v>0</v>
      </c>
      <c r="K747" s="62" t="s">
        <v>44</v>
      </c>
      <c r="L747" s="63" t="str">
        <f t="shared" si="22"/>
        <v>Dec-2017</v>
      </c>
      <c r="M747" s="29">
        <f t="shared" si="23"/>
        <v>43070</v>
      </c>
    </row>
    <row r="748" spans="1:13" ht="21" x14ac:dyDescent="0.35">
      <c r="A748" s="8">
        <v>2017</v>
      </c>
      <c r="B748" s="9">
        <v>12</v>
      </c>
      <c r="C748" s="17" t="s">
        <v>125</v>
      </c>
      <c r="D748" s="64" t="s">
        <v>105</v>
      </c>
      <c r="E748" s="9">
        <v>115.2500014</v>
      </c>
      <c r="F748" s="9">
        <v>3</v>
      </c>
      <c r="G748" s="9">
        <v>38.42</v>
      </c>
      <c r="H748" s="9">
        <v>5</v>
      </c>
      <c r="I748" s="9">
        <v>0</v>
      </c>
      <c r="J748" s="9">
        <v>0</v>
      </c>
      <c r="K748" s="62" t="s">
        <v>44</v>
      </c>
      <c r="L748" s="63" t="str">
        <f t="shared" si="22"/>
        <v>Dec-2017</v>
      </c>
      <c r="M748" s="29">
        <f t="shared" si="23"/>
        <v>43070</v>
      </c>
    </row>
    <row r="749" spans="1:13" ht="21" x14ac:dyDescent="0.35">
      <c r="A749" s="8">
        <v>2017</v>
      </c>
      <c r="B749" s="9">
        <v>12</v>
      </c>
      <c r="C749" s="17" t="s">
        <v>76</v>
      </c>
      <c r="D749" s="64" t="s">
        <v>126</v>
      </c>
      <c r="E749" s="9">
        <v>82.700000759999995</v>
      </c>
      <c r="F749" s="9">
        <v>2</v>
      </c>
      <c r="G749" s="9">
        <v>41.35</v>
      </c>
      <c r="H749" s="9">
        <v>5</v>
      </c>
      <c r="I749" s="9">
        <v>0</v>
      </c>
      <c r="J749" s="9">
        <v>0</v>
      </c>
      <c r="K749" s="62" t="s">
        <v>44</v>
      </c>
      <c r="L749" s="63" t="str">
        <f t="shared" si="22"/>
        <v>Dec-2017</v>
      </c>
      <c r="M749" s="29">
        <f t="shared" si="23"/>
        <v>43070</v>
      </c>
    </row>
    <row r="750" spans="1:13" ht="21" x14ac:dyDescent="0.35">
      <c r="A750" s="8">
        <v>2017</v>
      </c>
      <c r="B750" s="9">
        <v>12</v>
      </c>
      <c r="C750" s="17" t="s">
        <v>77</v>
      </c>
      <c r="D750" s="64" t="s">
        <v>70</v>
      </c>
      <c r="E750" s="9">
        <v>76</v>
      </c>
      <c r="F750" s="9">
        <v>1</v>
      </c>
      <c r="G750" s="9">
        <v>76</v>
      </c>
      <c r="H750" s="9">
        <v>1</v>
      </c>
      <c r="I750" s="9">
        <v>0</v>
      </c>
      <c r="J750" s="9">
        <v>0</v>
      </c>
      <c r="K750" s="62" t="s">
        <v>44</v>
      </c>
      <c r="L750" s="63" t="str">
        <f t="shared" si="22"/>
        <v>Dec-2017</v>
      </c>
      <c r="M750" s="29">
        <f t="shared" si="23"/>
        <v>43070</v>
      </c>
    </row>
    <row r="751" spans="1:13" ht="21" x14ac:dyDescent="0.35">
      <c r="A751" s="8">
        <v>2017</v>
      </c>
      <c r="B751" s="9">
        <v>12</v>
      </c>
      <c r="C751" s="17" t="s">
        <v>94</v>
      </c>
      <c r="D751" s="64" t="s">
        <v>122</v>
      </c>
      <c r="E751" s="9">
        <v>65</v>
      </c>
      <c r="F751" s="9">
        <v>1</v>
      </c>
      <c r="G751" s="9">
        <v>65</v>
      </c>
      <c r="H751" s="9">
        <v>5</v>
      </c>
      <c r="I751" s="9">
        <v>0</v>
      </c>
      <c r="J751" s="9">
        <v>0</v>
      </c>
      <c r="K751" s="62" t="s">
        <v>44</v>
      </c>
      <c r="L751" s="63" t="str">
        <f t="shared" si="22"/>
        <v>Dec-2017</v>
      </c>
      <c r="M751" s="29">
        <f t="shared" si="23"/>
        <v>43070</v>
      </c>
    </row>
    <row r="752" spans="1:13" ht="21" x14ac:dyDescent="0.35">
      <c r="A752" s="8">
        <v>2017</v>
      </c>
      <c r="B752" s="9">
        <v>12</v>
      </c>
      <c r="C752" s="17" t="s">
        <v>103</v>
      </c>
      <c r="D752" s="64" t="s">
        <v>108</v>
      </c>
      <c r="E752" s="9">
        <v>59.900001529999997</v>
      </c>
      <c r="F752" s="9">
        <v>1</v>
      </c>
      <c r="G752" s="9">
        <v>59.9</v>
      </c>
      <c r="H752" s="9">
        <v>5</v>
      </c>
      <c r="I752" s="9">
        <v>0</v>
      </c>
      <c r="J752" s="9">
        <v>0</v>
      </c>
      <c r="K752" s="62" t="s">
        <v>44</v>
      </c>
      <c r="L752" s="63" t="str">
        <f t="shared" si="22"/>
        <v>Dec-2017</v>
      </c>
      <c r="M752" s="29">
        <f t="shared" si="23"/>
        <v>43070</v>
      </c>
    </row>
    <row r="753" spans="1:13" ht="21" x14ac:dyDescent="0.35">
      <c r="A753" s="8">
        <v>2018</v>
      </c>
      <c r="B753" s="9">
        <v>1</v>
      </c>
      <c r="C753" s="17" t="s">
        <v>109</v>
      </c>
      <c r="D753" s="64" t="s">
        <v>52</v>
      </c>
      <c r="E753" s="9">
        <v>91574.329920000004</v>
      </c>
      <c r="F753" s="9">
        <v>586</v>
      </c>
      <c r="G753" s="9">
        <v>156.27000000000001</v>
      </c>
      <c r="H753" s="9">
        <v>3.982758</v>
      </c>
      <c r="I753" s="9">
        <v>2</v>
      </c>
      <c r="J753" s="9">
        <v>0.34</v>
      </c>
      <c r="K753" s="62" t="s">
        <v>44</v>
      </c>
      <c r="L753" s="63" t="str">
        <f t="shared" si="22"/>
        <v>Jan-2018</v>
      </c>
      <c r="M753" s="29">
        <f t="shared" si="23"/>
        <v>43101</v>
      </c>
    </row>
    <row r="754" spans="1:13" ht="21" x14ac:dyDescent="0.35">
      <c r="A754" s="8">
        <v>2018</v>
      </c>
      <c r="B754" s="9">
        <v>1</v>
      </c>
      <c r="C754" s="17" t="s">
        <v>115</v>
      </c>
      <c r="D754" s="64" t="s">
        <v>56</v>
      </c>
      <c r="E754" s="9">
        <v>83257.449930000002</v>
      </c>
      <c r="F754" s="9">
        <v>593</v>
      </c>
      <c r="G754" s="9">
        <v>140.4</v>
      </c>
      <c r="H754" s="9">
        <v>3.9821119999999999</v>
      </c>
      <c r="I754" s="9">
        <v>8</v>
      </c>
      <c r="J754" s="9">
        <v>1.35</v>
      </c>
      <c r="K754" s="62" t="s">
        <v>44</v>
      </c>
      <c r="L754" s="63" t="str">
        <f t="shared" si="22"/>
        <v>Jan-2018</v>
      </c>
      <c r="M754" s="29">
        <f t="shared" si="23"/>
        <v>43101</v>
      </c>
    </row>
    <row r="755" spans="1:13" ht="21" x14ac:dyDescent="0.35">
      <c r="A755" s="8">
        <v>2018</v>
      </c>
      <c r="B755" s="9">
        <v>1</v>
      </c>
      <c r="C755" s="17" t="s">
        <v>118</v>
      </c>
      <c r="D755" s="64" t="s">
        <v>66</v>
      </c>
      <c r="E755" s="9">
        <v>76377.789940000002</v>
      </c>
      <c r="F755" s="9">
        <v>699</v>
      </c>
      <c r="G755" s="9">
        <v>109.27</v>
      </c>
      <c r="H755" s="9">
        <v>3.9898690000000001</v>
      </c>
      <c r="I755" s="9">
        <v>2</v>
      </c>
      <c r="J755" s="9">
        <v>0.28999999999999998</v>
      </c>
      <c r="K755" s="62" t="s">
        <v>44</v>
      </c>
      <c r="L755" s="63" t="str">
        <f t="shared" si="22"/>
        <v>Jan-2018</v>
      </c>
      <c r="M755" s="29">
        <f t="shared" si="23"/>
        <v>43101</v>
      </c>
    </row>
    <row r="756" spans="1:13" ht="21" x14ac:dyDescent="0.35">
      <c r="A756" s="8">
        <v>2018</v>
      </c>
      <c r="B756" s="9">
        <v>1</v>
      </c>
      <c r="C756" s="17" t="s">
        <v>120</v>
      </c>
      <c r="D756" s="64" t="s">
        <v>51</v>
      </c>
      <c r="E756" s="9">
        <v>75621.240030000001</v>
      </c>
      <c r="F756" s="9">
        <v>337</v>
      </c>
      <c r="G756" s="9">
        <v>224.4</v>
      </c>
      <c r="H756" s="9">
        <v>4.0540539999999998</v>
      </c>
      <c r="I756" s="9">
        <v>1</v>
      </c>
      <c r="J756" s="9">
        <v>0.3</v>
      </c>
      <c r="K756" s="62" t="s">
        <v>44</v>
      </c>
      <c r="L756" s="63" t="str">
        <f t="shared" si="22"/>
        <v>Jan-2018</v>
      </c>
      <c r="M756" s="29">
        <f t="shared" si="23"/>
        <v>43101</v>
      </c>
    </row>
    <row r="757" spans="1:13" ht="21" x14ac:dyDescent="0.35">
      <c r="A757" s="8">
        <v>2018</v>
      </c>
      <c r="B757" s="9">
        <v>1</v>
      </c>
      <c r="C757" s="17" t="s">
        <v>124</v>
      </c>
      <c r="D757" s="64" t="s">
        <v>43</v>
      </c>
      <c r="E757" s="9">
        <v>72470.489950000003</v>
      </c>
      <c r="F757" s="9">
        <v>572</v>
      </c>
      <c r="G757" s="9">
        <v>126.7</v>
      </c>
      <c r="H757" s="9">
        <v>4.1657840000000004</v>
      </c>
      <c r="I757" s="9">
        <v>2</v>
      </c>
      <c r="J757" s="9">
        <v>0.35</v>
      </c>
      <c r="K757" s="62" t="s">
        <v>44</v>
      </c>
      <c r="L757" s="63" t="str">
        <f t="shared" si="22"/>
        <v>Jan-2018</v>
      </c>
      <c r="M757" s="29">
        <f t="shared" si="23"/>
        <v>43101</v>
      </c>
    </row>
    <row r="758" spans="1:13" ht="21" x14ac:dyDescent="0.35">
      <c r="A758" s="8">
        <v>2018</v>
      </c>
      <c r="B758" s="9">
        <v>1</v>
      </c>
      <c r="C758" s="17" t="s">
        <v>42</v>
      </c>
      <c r="D758" s="64" t="s">
        <v>45</v>
      </c>
      <c r="E758" s="9">
        <v>55438.18045</v>
      </c>
      <c r="F758" s="9">
        <v>478</v>
      </c>
      <c r="G758" s="9">
        <v>115.98</v>
      </c>
      <c r="H758" s="9">
        <v>3.9936699999999998</v>
      </c>
      <c r="I758" s="9">
        <v>4</v>
      </c>
      <c r="J758" s="9">
        <v>0.84</v>
      </c>
      <c r="K758" s="62" t="s">
        <v>44</v>
      </c>
      <c r="L758" s="63" t="str">
        <f t="shared" si="22"/>
        <v>Jan-2018</v>
      </c>
      <c r="M758" s="29">
        <f t="shared" si="23"/>
        <v>43101</v>
      </c>
    </row>
    <row r="759" spans="1:13" ht="21" x14ac:dyDescent="0.35">
      <c r="A759" s="8">
        <v>2018</v>
      </c>
      <c r="B759" s="9">
        <v>1</v>
      </c>
      <c r="C759" s="17" t="s">
        <v>47</v>
      </c>
      <c r="D759" s="64" t="s">
        <v>81</v>
      </c>
      <c r="E759" s="9">
        <v>41023.909930000002</v>
      </c>
      <c r="F759" s="9">
        <v>379</v>
      </c>
      <c r="G759" s="9">
        <v>108.24</v>
      </c>
      <c r="H759" s="9">
        <v>4.2198390000000003</v>
      </c>
      <c r="I759" s="9">
        <v>4</v>
      </c>
      <c r="J759" s="9">
        <v>1.06</v>
      </c>
      <c r="K759" s="62" t="s">
        <v>44</v>
      </c>
      <c r="L759" s="63" t="str">
        <f t="shared" si="22"/>
        <v>Jan-2018</v>
      </c>
      <c r="M759" s="29">
        <f t="shared" si="23"/>
        <v>43101</v>
      </c>
    </row>
    <row r="760" spans="1:13" ht="21" x14ac:dyDescent="0.35">
      <c r="A760" s="8">
        <v>2018</v>
      </c>
      <c r="B760" s="9">
        <v>1</v>
      </c>
      <c r="C760" s="17" t="s">
        <v>125</v>
      </c>
      <c r="D760" s="64" t="s">
        <v>62</v>
      </c>
      <c r="E760" s="9">
        <v>39739.700199999999</v>
      </c>
      <c r="F760" s="9">
        <v>289</v>
      </c>
      <c r="G760" s="9">
        <v>137.51</v>
      </c>
      <c r="H760" s="9">
        <v>4.1358879999999996</v>
      </c>
      <c r="I760" s="9">
        <v>1</v>
      </c>
      <c r="J760" s="9">
        <v>0.35</v>
      </c>
      <c r="K760" s="62" t="s">
        <v>44</v>
      </c>
      <c r="L760" s="63" t="str">
        <f t="shared" si="22"/>
        <v>Jan-2018</v>
      </c>
      <c r="M760" s="29">
        <f t="shared" si="23"/>
        <v>43101</v>
      </c>
    </row>
    <row r="761" spans="1:13" ht="21" x14ac:dyDescent="0.35">
      <c r="A761" s="8">
        <v>2018</v>
      </c>
      <c r="B761" s="9">
        <v>1</v>
      </c>
      <c r="C761" s="17" t="s">
        <v>76</v>
      </c>
      <c r="D761" s="64" t="s">
        <v>61</v>
      </c>
      <c r="E761" s="9">
        <v>38078.310149999998</v>
      </c>
      <c r="F761" s="9">
        <v>322</v>
      </c>
      <c r="G761" s="9">
        <v>118.26</v>
      </c>
      <c r="H761" s="9">
        <v>4.0906250000000002</v>
      </c>
      <c r="I761" s="9">
        <v>2</v>
      </c>
      <c r="J761" s="9">
        <v>0.62</v>
      </c>
      <c r="K761" s="62" t="s">
        <v>44</v>
      </c>
      <c r="L761" s="63" t="str">
        <f t="shared" si="22"/>
        <v>Jan-2018</v>
      </c>
      <c r="M761" s="29">
        <f t="shared" si="23"/>
        <v>43101</v>
      </c>
    </row>
    <row r="762" spans="1:13" ht="21" x14ac:dyDescent="0.35">
      <c r="A762" s="8">
        <v>2018</v>
      </c>
      <c r="B762" s="9">
        <v>1</v>
      </c>
      <c r="C762" s="17" t="s">
        <v>77</v>
      </c>
      <c r="D762" s="64" t="s">
        <v>53</v>
      </c>
      <c r="E762" s="9">
        <v>35995.020109999998</v>
      </c>
      <c r="F762" s="9">
        <v>244</v>
      </c>
      <c r="G762" s="9">
        <v>147.52000000000001</v>
      </c>
      <c r="H762" s="9">
        <v>4.0991730000000004</v>
      </c>
      <c r="I762" s="9">
        <v>1</v>
      </c>
      <c r="J762" s="9">
        <v>0.41</v>
      </c>
      <c r="K762" s="62" t="s">
        <v>44</v>
      </c>
      <c r="L762" s="63" t="str">
        <f t="shared" si="22"/>
        <v>Jan-2018</v>
      </c>
      <c r="M762" s="29">
        <f t="shared" si="23"/>
        <v>43101</v>
      </c>
    </row>
    <row r="763" spans="1:13" ht="21" x14ac:dyDescent="0.35">
      <c r="A763" s="8">
        <v>2018</v>
      </c>
      <c r="B763" s="9">
        <v>1</v>
      </c>
      <c r="C763" s="17" t="s">
        <v>94</v>
      </c>
      <c r="D763" s="64" t="s">
        <v>55</v>
      </c>
      <c r="E763" s="9">
        <v>30058.47003</v>
      </c>
      <c r="F763" s="9">
        <v>212</v>
      </c>
      <c r="G763" s="9">
        <v>141.79</v>
      </c>
      <c r="H763" s="9">
        <v>3.8190469999999999</v>
      </c>
      <c r="I763" s="9">
        <v>1</v>
      </c>
      <c r="J763" s="9">
        <v>0.47</v>
      </c>
      <c r="K763" s="62" t="s">
        <v>44</v>
      </c>
      <c r="L763" s="63" t="str">
        <f t="shared" si="22"/>
        <v>Jan-2018</v>
      </c>
      <c r="M763" s="29">
        <f t="shared" si="23"/>
        <v>43101</v>
      </c>
    </row>
    <row r="764" spans="1:13" ht="21" x14ac:dyDescent="0.35">
      <c r="A764" s="8">
        <v>2018</v>
      </c>
      <c r="B764" s="9">
        <v>1</v>
      </c>
      <c r="C764" s="17" t="s">
        <v>103</v>
      </c>
      <c r="D764" s="64" t="s">
        <v>57</v>
      </c>
      <c r="E764" s="9">
        <v>27037.94023</v>
      </c>
      <c r="F764" s="9">
        <v>205</v>
      </c>
      <c r="G764" s="9">
        <v>131.88999999999999</v>
      </c>
      <c r="H764" s="9">
        <v>4.196078</v>
      </c>
      <c r="I764" s="9">
        <v>1</v>
      </c>
      <c r="J764" s="9">
        <v>0.49</v>
      </c>
      <c r="K764" s="62" t="s">
        <v>44</v>
      </c>
      <c r="L764" s="63" t="str">
        <f t="shared" si="22"/>
        <v>Jan-2018</v>
      </c>
      <c r="M764" s="29">
        <f t="shared" si="23"/>
        <v>43101</v>
      </c>
    </row>
    <row r="765" spans="1:13" ht="21" x14ac:dyDescent="0.35">
      <c r="A765" s="8">
        <v>2018</v>
      </c>
      <c r="B765" s="9">
        <v>1</v>
      </c>
      <c r="C765" s="17" t="s">
        <v>109</v>
      </c>
      <c r="D765" s="64" t="s">
        <v>0</v>
      </c>
      <c r="E765" s="9">
        <v>22489.44987</v>
      </c>
      <c r="F765" s="9">
        <v>184</v>
      </c>
      <c r="G765" s="9">
        <v>122.23</v>
      </c>
      <c r="H765" s="9" t="s">
        <v>0</v>
      </c>
      <c r="I765" s="9" t="s">
        <v>0</v>
      </c>
      <c r="J765" s="9" t="s">
        <v>0</v>
      </c>
      <c r="K765" s="62" t="s">
        <v>44</v>
      </c>
      <c r="L765" s="63" t="str">
        <f t="shared" si="22"/>
        <v>Jan-2018</v>
      </c>
      <c r="M765" s="29">
        <f t="shared" si="23"/>
        <v>43101</v>
      </c>
    </row>
    <row r="766" spans="1:13" ht="21" x14ac:dyDescent="0.35">
      <c r="A766" s="8">
        <v>2018</v>
      </c>
      <c r="B766" s="9">
        <v>1</v>
      </c>
      <c r="C766" s="17" t="s">
        <v>115</v>
      </c>
      <c r="D766" s="64" t="s">
        <v>49</v>
      </c>
      <c r="E766" s="9">
        <v>21948.230039999999</v>
      </c>
      <c r="F766" s="9">
        <v>158</v>
      </c>
      <c r="G766" s="9">
        <v>138.91</v>
      </c>
      <c r="H766" s="9">
        <v>4.0961530000000002</v>
      </c>
      <c r="I766" s="9">
        <v>0</v>
      </c>
      <c r="J766" s="9">
        <v>0</v>
      </c>
      <c r="K766" s="62" t="s">
        <v>44</v>
      </c>
      <c r="L766" s="63" t="str">
        <f t="shared" si="22"/>
        <v>Jan-2018</v>
      </c>
      <c r="M766" s="29">
        <f t="shared" si="23"/>
        <v>43101</v>
      </c>
    </row>
    <row r="767" spans="1:13" ht="21" x14ac:dyDescent="0.35">
      <c r="A767" s="8">
        <v>2018</v>
      </c>
      <c r="B767" s="9">
        <v>1</v>
      </c>
      <c r="C767" s="17" t="s">
        <v>118</v>
      </c>
      <c r="D767" s="64" t="s">
        <v>60</v>
      </c>
      <c r="E767" s="9">
        <v>20113.410080000001</v>
      </c>
      <c r="F767" s="9">
        <v>106</v>
      </c>
      <c r="G767" s="9">
        <v>189.75</v>
      </c>
      <c r="H767" s="9">
        <v>3.3714279999999999</v>
      </c>
      <c r="I767" s="9">
        <v>0</v>
      </c>
      <c r="J767" s="9">
        <v>0</v>
      </c>
      <c r="K767" s="62" t="s">
        <v>44</v>
      </c>
      <c r="L767" s="63" t="str">
        <f t="shared" si="22"/>
        <v>Jan-2018</v>
      </c>
      <c r="M767" s="29">
        <f t="shared" si="23"/>
        <v>43101</v>
      </c>
    </row>
    <row r="768" spans="1:13" ht="21" x14ac:dyDescent="0.35">
      <c r="A768" s="8">
        <v>2018</v>
      </c>
      <c r="B768" s="9">
        <v>1</v>
      </c>
      <c r="C768" s="17" t="s">
        <v>120</v>
      </c>
      <c r="D768" s="64" t="s">
        <v>48</v>
      </c>
      <c r="E768" s="9">
        <v>20036.890070000001</v>
      </c>
      <c r="F768" s="9">
        <v>213</v>
      </c>
      <c r="G768" s="9">
        <v>94.07</v>
      </c>
      <c r="H768" s="9">
        <v>4.0047160000000002</v>
      </c>
      <c r="I768" s="9">
        <v>2</v>
      </c>
      <c r="J768" s="9">
        <v>0.94</v>
      </c>
      <c r="K768" s="62" t="s">
        <v>44</v>
      </c>
      <c r="L768" s="63" t="str">
        <f t="shared" si="22"/>
        <v>Jan-2018</v>
      </c>
      <c r="M768" s="29">
        <f t="shared" si="23"/>
        <v>43101</v>
      </c>
    </row>
    <row r="769" spans="1:13" ht="21" x14ac:dyDescent="0.35">
      <c r="A769" s="8">
        <v>2018</v>
      </c>
      <c r="B769" s="9">
        <v>1</v>
      </c>
      <c r="C769" s="17" t="s">
        <v>124</v>
      </c>
      <c r="D769" s="64" t="s">
        <v>83</v>
      </c>
      <c r="E769" s="9">
        <v>18738.220130000002</v>
      </c>
      <c r="F769" s="9">
        <v>123</v>
      </c>
      <c r="G769" s="9">
        <v>152.34</v>
      </c>
      <c r="H769" s="9">
        <v>4.1788610000000004</v>
      </c>
      <c r="I769" s="9">
        <v>0</v>
      </c>
      <c r="J769" s="9">
        <v>0</v>
      </c>
      <c r="K769" s="62" t="s">
        <v>44</v>
      </c>
      <c r="L769" s="63" t="str">
        <f t="shared" si="22"/>
        <v>Jan-2018</v>
      </c>
      <c r="M769" s="29">
        <f t="shared" si="23"/>
        <v>43101</v>
      </c>
    </row>
    <row r="770" spans="1:13" ht="21" x14ac:dyDescent="0.35">
      <c r="A770" s="8">
        <v>2018</v>
      </c>
      <c r="B770" s="9">
        <v>1</v>
      </c>
      <c r="C770" s="17" t="s">
        <v>42</v>
      </c>
      <c r="D770" s="64" t="s">
        <v>58</v>
      </c>
      <c r="E770" s="9">
        <v>15996.67992</v>
      </c>
      <c r="F770" s="9">
        <v>322</v>
      </c>
      <c r="G770" s="9">
        <v>49.68</v>
      </c>
      <c r="H770" s="9">
        <v>4.0531249999999996</v>
      </c>
      <c r="I770" s="9">
        <v>0</v>
      </c>
      <c r="J770" s="9">
        <v>0</v>
      </c>
      <c r="K770" s="62" t="s">
        <v>44</v>
      </c>
      <c r="L770" s="63" t="str">
        <f t="shared" ref="L770:L833" si="24">TEXT(DATE(A770,B770,1),"mmm-yyyy")</f>
        <v>Jan-2018</v>
      </c>
      <c r="M770" s="29">
        <f t="shared" ref="M770:M833" si="25">DATE(A770,B770,1)</f>
        <v>43101</v>
      </c>
    </row>
    <row r="771" spans="1:13" ht="21" x14ac:dyDescent="0.35">
      <c r="A771" s="8">
        <v>2018</v>
      </c>
      <c r="B771" s="9">
        <v>1</v>
      </c>
      <c r="C771" s="17" t="s">
        <v>47</v>
      </c>
      <c r="D771" s="64" t="s">
        <v>80</v>
      </c>
      <c r="E771" s="9">
        <v>15450.75999</v>
      </c>
      <c r="F771" s="9">
        <v>52</v>
      </c>
      <c r="G771" s="9">
        <v>297.13</v>
      </c>
      <c r="H771" s="9">
        <v>4.3461530000000002</v>
      </c>
      <c r="I771" s="9">
        <v>0</v>
      </c>
      <c r="J771" s="9">
        <v>0</v>
      </c>
      <c r="K771" s="62" t="s">
        <v>44</v>
      </c>
      <c r="L771" s="63" t="str">
        <f t="shared" si="24"/>
        <v>Jan-2018</v>
      </c>
      <c r="M771" s="29">
        <f t="shared" si="25"/>
        <v>43101</v>
      </c>
    </row>
    <row r="772" spans="1:13" ht="21" x14ac:dyDescent="0.35">
      <c r="A772" s="8">
        <v>2018</v>
      </c>
      <c r="B772" s="9">
        <v>1</v>
      </c>
      <c r="C772" s="17" t="s">
        <v>125</v>
      </c>
      <c r="D772" s="64" t="s">
        <v>84</v>
      </c>
      <c r="E772" s="9">
        <v>15405.58005</v>
      </c>
      <c r="F772" s="9">
        <v>51</v>
      </c>
      <c r="G772" s="9">
        <v>302.07</v>
      </c>
      <c r="H772" s="9">
        <v>4.1764700000000001</v>
      </c>
      <c r="I772" s="9">
        <v>1</v>
      </c>
      <c r="J772" s="9">
        <v>1.96</v>
      </c>
      <c r="K772" s="62" t="s">
        <v>44</v>
      </c>
      <c r="L772" s="63" t="str">
        <f t="shared" si="24"/>
        <v>Jan-2018</v>
      </c>
      <c r="M772" s="29">
        <f t="shared" si="25"/>
        <v>43101</v>
      </c>
    </row>
    <row r="773" spans="1:13" ht="21" x14ac:dyDescent="0.35">
      <c r="A773" s="8">
        <v>2018</v>
      </c>
      <c r="B773" s="9">
        <v>1</v>
      </c>
      <c r="C773" s="17" t="s">
        <v>76</v>
      </c>
      <c r="D773" s="64" t="s">
        <v>46</v>
      </c>
      <c r="E773" s="9">
        <v>14879.96005</v>
      </c>
      <c r="F773" s="9">
        <v>347</v>
      </c>
      <c r="G773" s="9">
        <v>42.88</v>
      </c>
      <c r="H773" s="9">
        <v>3.9709300000000001</v>
      </c>
      <c r="I773" s="9">
        <v>0</v>
      </c>
      <c r="J773" s="9">
        <v>0</v>
      </c>
      <c r="K773" s="62" t="s">
        <v>44</v>
      </c>
      <c r="L773" s="63" t="str">
        <f t="shared" si="24"/>
        <v>Jan-2018</v>
      </c>
      <c r="M773" s="29">
        <f t="shared" si="25"/>
        <v>43101</v>
      </c>
    </row>
    <row r="774" spans="1:13" ht="21" x14ac:dyDescent="0.35">
      <c r="A774" s="8">
        <v>2018</v>
      </c>
      <c r="B774" s="9">
        <v>1</v>
      </c>
      <c r="C774" s="17" t="s">
        <v>77</v>
      </c>
      <c r="D774" s="64" t="s">
        <v>64</v>
      </c>
      <c r="E774" s="9">
        <v>10885.96004</v>
      </c>
      <c r="F774" s="9">
        <v>77</v>
      </c>
      <c r="G774" s="9">
        <v>141.38</v>
      </c>
      <c r="H774" s="9">
        <v>4.1184209999999997</v>
      </c>
      <c r="I774" s="9">
        <v>0</v>
      </c>
      <c r="J774" s="9">
        <v>0</v>
      </c>
      <c r="K774" s="62" t="s">
        <v>44</v>
      </c>
      <c r="L774" s="63" t="str">
        <f t="shared" si="24"/>
        <v>Jan-2018</v>
      </c>
      <c r="M774" s="29">
        <f t="shared" si="25"/>
        <v>43101</v>
      </c>
    </row>
    <row r="775" spans="1:13" ht="21" x14ac:dyDescent="0.35">
      <c r="A775" s="8">
        <v>2018</v>
      </c>
      <c r="B775" s="9">
        <v>1</v>
      </c>
      <c r="C775" s="17" t="s">
        <v>94</v>
      </c>
      <c r="D775" s="64" t="s">
        <v>85</v>
      </c>
      <c r="E775" s="9">
        <v>9664.1800270000003</v>
      </c>
      <c r="F775" s="9">
        <v>40</v>
      </c>
      <c r="G775" s="9">
        <v>241.6</v>
      </c>
      <c r="H775" s="9">
        <v>4.0897430000000004</v>
      </c>
      <c r="I775" s="9">
        <v>0</v>
      </c>
      <c r="J775" s="9">
        <v>0</v>
      </c>
      <c r="K775" s="62" t="s">
        <v>44</v>
      </c>
      <c r="L775" s="63" t="str">
        <f t="shared" si="24"/>
        <v>Jan-2018</v>
      </c>
      <c r="M775" s="29">
        <f t="shared" si="25"/>
        <v>43101</v>
      </c>
    </row>
    <row r="776" spans="1:13" ht="21" x14ac:dyDescent="0.35">
      <c r="A776" s="8">
        <v>2018</v>
      </c>
      <c r="B776" s="9">
        <v>1</v>
      </c>
      <c r="C776" s="17" t="s">
        <v>103</v>
      </c>
      <c r="D776" s="64" t="s">
        <v>79</v>
      </c>
      <c r="E776" s="9">
        <v>8630.1000060000006</v>
      </c>
      <c r="F776" s="9">
        <v>12</v>
      </c>
      <c r="G776" s="9">
        <v>719.18</v>
      </c>
      <c r="H776" s="9">
        <v>4.3333329999999997</v>
      </c>
      <c r="I776" s="9">
        <v>0</v>
      </c>
      <c r="J776" s="9">
        <v>0</v>
      </c>
      <c r="K776" s="62" t="s">
        <v>44</v>
      </c>
      <c r="L776" s="63" t="str">
        <f t="shared" si="24"/>
        <v>Jan-2018</v>
      </c>
      <c r="M776" s="29">
        <f t="shared" si="25"/>
        <v>43101</v>
      </c>
    </row>
    <row r="777" spans="1:13" ht="21" x14ac:dyDescent="0.35">
      <c r="A777" s="8">
        <v>2018</v>
      </c>
      <c r="B777" s="9">
        <v>1</v>
      </c>
      <c r="C777" s="17" t="s">
        <v>109</v>
      </c>
      <c r="D777" s="64" t="s">
        <v>50</v>
      </c>
      <c r="E777" s="9">
        <v>8200.9800149999992</v>
      </c>
      <c r="F777" s="9">
        <v>53</v>
      </c>
      <c r="G777" s="9">
        <v>154.74</v>
      </c>
      <c r="H777" s="9">
        <v>3.923076</v>
      </c>
      <c r="I777" s="9">
        <v>0</v>
      </c>
      <c r="J777" s="9">
        <v>0</v>
      </c>
      <c r="K777" s="62" t="s">
        <v>44</v>
      </c>
      <c r="L777" s="63" t="str">
        <f t="shared" si="24"/>
        <v>Jan-2018</v>
      </c>
      <c r="M777" s="29">
        <f t="shared" si="25"/>
        <v>43101</v>
      </c>
    </row>
    <row r="778" spans="1:13" ht="21" x14ac:dyDescent="0.35">
      <c r="A778" s="8">
        <v>2018</v>
      </c>
      <c r="B778" s="9">
        <v>1</v>
      </c>
      <c r="C778" s="17" t="s">
        <v>115</v>
      </c>
      <c r="D778" s="64" t="s">
        <v>65</v>
      </c>
      <c r="E778" s="9">
        <v>7931.7200080000002</v>
      </c>
      <c r="F778" s="9">
        <v>116</v>
      </c>
      <c r="G778" s="9">
        <v>68.38</v>
      </c>
      <c r="H778" s="9">
        <v>4.4912280000000004</v>
      </c>
      <c r="I778" s="9">
        <v>0</v>
      </c>
      <c r="J778" s="9">
        <v>0</v>
      </c>
      <c r="K778" s="62" t="s">
        <v>44</v>
      </c>
      <c r="L778" s="63" t="str">
        <f t="shared" si="24"/>
        <v>Jan-2018</v>
      </c>
      <c r="M778" s="29">
        <f t="shared" si="25"/>
        <v>43101</v>
      </c>
    </row>
    <row r="779" spans="1:13" ht="21" x14ac:dyDescent="0.35">
      <c r="A779" s="8">
        <v>2018</v>
      </c>
      <c r="B779" s="9">
        <v>1</v>
      </c>
      <c r="C779" s="17" t="s">
        <v>118</v>
      </c>
      <c r="D779" s="64" t="s">
        <v>78</v>
      </c>
      <c r="E779" s="9">
        <v>7450</v>
      </c>
      <c r="F779" s="9">
        <v>12</v>
      </c>
      <c r="G779" s="9">
        <v>620.83000000000004</v>
      </c>
      <c r="H779" s="9">
        <v>3.9166660000000002</v>
      </c>
      <c r="I779" s="9">
        <v>0</v>
      </c>
      <c r="J779" s="9">
        <v>0</v>
      </c>
      <c r="K779" s="62" t="s">
        <v>44</v>
      </c>
      <c r="L779" s="63" t="str">
        <f t="shared" si="24"/>
        <v>Jan-2018</v>
      </c>
      <c r="M779" s="29">
        <f t="shared" si="25"/>
        <v>43101</v>
      </c>
    </row>
    <row r="780" spans="1:13" ht="21" x14ac:dyDescent="0.35">
      <c r="A780" s="8">
        <v>2018</v>
      </c>
      <c r="B780" s="9">
        <v>1</v>
      </c>
      <c r="C780" s="17" t="s">
        <v>120</v>
      </c>
      <c r="D780" s="64" t="s">
        <v>91</v>
      </c>
      <c r="E780" s="9">
        <v>5853.4400020000003</v>
      </c>
      <c r="F780" s="9">
        <v>15</v>
      </c>
      <c r="G780" s="9">
        <v>390.23</v>
      </c>
      <c r="H780" s="9">
        <v>4.4000000000000004</v>
      </c>
      <c r="I780" s="9">
        <v>0</v>
      </c>
      <c r="J780" s="9">
        <v>0</v>
      </c>
      <c r="K780" s="62" t="s">
        <v>44</v>
      </c>
      <c r="L780" s="63" t="str">
        <f t="shared" si="24"/>
        <v>Jan-2018</v>
      </c>
      <c r="M780" s="29">
        <f t="shared" si="25"/>
        <v>43101</v>
      </c>
    </row>
    <row r="781" spans="1:13" ht="21" x14ac:dyDescent="0.35">
      <c r="A781" s="8">
        <v>2018</v>
      </c>
      <c r="B781" s="9">
        <v>1</v>
      </c>
      <c r="C781" s="17" t="s">
        <v>124</v>
      </c>
      <c r="D781" s="64" t="s">
        <v>97</v>
      </c>
      <c r="E781" s="9">
        <v>5827.5799710000001</v>
      </c>
      <c r="F781" s="9">
        <v>28</v>
      </c>
      <c r="G781" s="9">
        <v>208.13</v>
      </c>
      <c r="H781" s="9">
        <v>3.7142849999999998</v>
      </c>
      <c r="I781" s="9">
        <v>0</v>
      </c>
      <c r="J781" s="9">
        <v>0</v>
      </c>
      <c r="K781" s="62" t="s">
        <v>44</v>
      </c>
      <c r="L781" s="63" t="str">
        <f t="shared" si="24"/>
        <v>Jan-2018</v>
      </c>
      <c r="M781" s="29">
        <f t="shared" si="25"/>
        <v>43101</v>
      </c>
    </row>
    <row r="782" spans="1:13" ht="21" x14ac:dyDescent="0.35">
      <c r="A782" s="8">
        <v>2018</v>
      </c>
      <c r="B782" s="9">
        <v>1</v>
      </c>
      <c r="C782" s="17" t="s">
        <v>42</v>
      </c>
      <c r="D782" s="64" t="s">
        <v>88</v>
      </c>
      <c r="E782" s="9">
        <v>4838.5000289999998</v>
      </c>
      <c r="F782" s="9">
        <v>20</v>
      </c>
      <c r="G782" s="9">
        <v>241.93</v>
      </c>
      <c r="H782" s="9">
        <v>4.45</v>
      </c>
      <c r="I782" s="9">
        <v>0</v>
      </c>
      <c r="J782" s="9">
        <v>0</v>
      </c>
      <c r="K782" s="62" t="s">
        <v>44</v>
      </c>
      <c r="L782" s="63" t="str">
        <f t="shared" si="24"/>
        <v>Jan-2018</v>
      </c>
      <c r="M782" s="29">
        <f t="shared" si="25"/>
        <v>43101</v>
      </c>
    </row>
    <row r="783" spans="1:13" ht="21" x14ac:dyDescent="0.35">
      <c r="A783" s="8">
        <v>2018</v>
      </c>
      <c r="B783" s="9">
        <v>1</v>
      </c>
      <c r="C783" s="17" t="s">
        <v>47</v>
      </c>
      <c r="D783" s="64" t="s">
        <v>54</v>
      </c>
      <c r="E783" s="9">
        <v>4674.7399770000002</v>
      </c>
      <c r="F783" s="9">
        <v>22</v>
      </c>
      <c r="G783" s="9">
        <v>212.49</v>
      </c>
      <c r="H783" s="9">
        <v>4.1363630000000002</v>
      </c>
      <c r="I783" s="9">
        <v>0</v>
      </c>
      <c r="J783" s="9">
        <v>0</v>
      </c>
      <c r="K783" s="62" t="s">
        <v>44</v>
      </c>
      <c r="L783" s="63" t="str">
        <f t="shared" si="24"/>
        <v>Jan-2018</v>
      </c>
      <c r="M783" s="29">
        <f t="shared" si="25"/>
        <v>43101</v>
      </c>
    </row>
    <row r="784" spans="1:13" ht="21" x14ac:dyDescent="0.35">
      <c r="A784" s="8">
        <v>2018</v>
      </c>
      <c r="B784" s="9">
        <v>1</v>
      </c>
      <c r="C784" s="17" t="s">
        <v>125</v>
      </c>
      <c r="D784" s="64" t="s">
        <v>98</v>
      </c>
      <c r="E784" s="9">
        <v>3927.9800009999999</v>
      </c>
      <c r="F784" s="9">
        <v>21</v>
      </c>
      <c r="G784" s="9">
        <v>187.05</v>
      </c>
      <c r="H784" s="9">
        <v>4.4761899999999999</v>
      </c>
      <c r="I784" s="9">
        <v>0</v>
      </c>
      <c r="J784" s="9">
        <v>0</v>
      </c>
      <c r="K784" s="62" t="s">
        <v>44</v>
      </c>
      <c r="L784" s="63" t="str">
        <f t="shared" si="24"/>
        <v>Jan-2018</v>
      </c>
      <c r="M784" s="29">
        <f t="shared" si="25"/>
        <v>43101</v>
      </c>
    </row>
    <row r="785" spans="1:13" ht="21" x14ac:dyDescent="0.35">
      <c r="A785" s="8">
        <v>2018</v>
      </c>
      <c r="B785" s="9">
        <v>1</v>
      </c>
      <c r="C785" s="17" t="s">
        <v>76</v>
      </c>
      <c r="D785" s="64" t="s">
        <v>69</v>
      </c>
      <c r="E785" s="9">
        <v>3820.2799610000002</v>
      </c>
      <c r="F785" s="9">
        <v>25</v>
      </c>
      <c r="G785" s="9">
        <v>152.81</v>
      </c>
      <c r="H785" s="9">
        <v>4.08</v>
      </c>
      <c r="I785" s="9">
        <v>0</v>
      </c>
      <c r="J785" s="9">
        <v>0</v>
      </c>
      <c r="K785" s="62" t="s">
        <v>44</v>
      </c>
      <c r="L785" s="63" t="str">
        <f t="shared" si="24"/>
        <v>Jan-2018</v>
      </c>
      <c r="M785" s="29">
        <f t="shared" si="25"/>
        <v>43101</v>
      </c>
    </row>
    <row r="786" spans="1:13" ht="21" x14ac:dyDescent="0.35">
      <c r="A786" s="8">
        <v>2018</v>
      </c>
      <c r="B786" s="9">
        <v>1</v>
      </c>
      <c r="C786" s="17" t="s">
        <v>77</v>
      </c>
      <c r="D786" s="64" t="s">
        <v>67</v>
      </c>
      <c r="E786" s="9">
        <v>3662.0000460000001</v>
      </c>
      <c r="F786" s="9">
        <v>16</v>
      </c>
      <c r="G786" s="9">
        <v>228.88</v>
      </c>
      <c r="H786" s="9">
        <v>4.375</v>
      </c>
      <c r="I786" s="9">
        <v>0</v>
      </c>
      <c r="J786" s="9">
        <v>0</v>
      </c>
      <c r="K786" s="62" t="s">
        <v>44</v>
      </c>
      <c r="L786" s="63" t="str">
        <f t="shared" si="24"/>
        <v>Jan-2018</v>
      </c>
      <c r="M786" s="29">
        <f t="shared" si="25"/>
        <v>43101</v>
      </c>
    </row>
    <row r="787" spans="1:13" ht="21" x14ac:dyDescent="0.35">
      <c r="A787" s="8">
        <v>2018</v>
      </c>
      <c r="B787" s="9">
        <v>1</v>
      </c>
      <c r="C787" s="17" t="s">
        <v>94</v>
      </c>
      <c r="D787" s="64" t="s">
        <v>99</v>
      </c>
      <c r="E787" s="9">
        <v>3020.1600250000001</v>
      </c>
      <c r="F787" s="9">
        <v>18</v>
      </c>
      <c r="G787" s="9">
        <v>167.79</v>
      </c>
      <c r="H787" s="9">
        <v>4.1111110000000002</v>
      </c>
      <c r="I787" s="9">
        <v>0</v>
      </c>
      <c r="J787" s="9">
        <v>0</v>
      </c>
      <c r="K787" s="62" t="s">
        <v>44</v>
      </c>
      <c r="L787" s="63" t="str">
        <f t="shared" si="24"/>
        <v>Jan-2018</v>
      </c>
      <c r="M787" s="29">
        <f t="shared" si="25"/>
        <v>43101</v>
      </c>
    </row>
    <row r="788" spans="1:13" ht="21" x14ac:dyDescent="0.35">
      <c r="A788" s="8">
        <v>2018</v>
      </c>
      <c r="B788" s="9">
        <v>1</v>
      </c>
      <c r="C788" s="17" t="s">
        <v>103</v>
      </c>
      <c r="D788" s="64" t="s">
        <v>105</v>
      </c>
      <c r="E788" s="9">
        <v>2540.7700730000001</v>
      </c>
      <c r="F788" s="9">
        <v>19</v>
      </c>
      <c r="G788" s="9">
        <v>133.72</v>
      </c>
      <c r="H788" s="9">
        <v>3.473684</v>
      </c>
      <c r="I788" s="9">
        <v>0</v>
      </c>
      <c r="J788" s="9">
        <v>0</v>
      </c>
      <c r="K788" s="62" t="s">
        <v>44</v>
      </c>
      <c r="L788" s="63" t="str">
        <f t="shared" si="24"/>
        <v>Jan-2018</v>
      </c>
      <c r="M788" s="29">
        <f t="shared" si="25"/>
        <v>43101</v>
      </c>
    </row>
    <row r="789" spans="1:13" ht="21" x14ac:dyDescent="0.35">
      <c r="A789" s="8">
        <v>2018</v>
      </c>
      <c r="B789" s="9">
        <v>1</v>
      </c>
      <c r="C789" s="17" t="s">
        <v>109</v>
      </c>
      <c r="D789" s="64" t="s">
        <v>63</v>
      </c>
      <c r="E789" s="9">
        <v>2444.0999820000002</v>
      </c>
      <c r="F789" s="9">
        <v>10</v>
      </c>
      <c r="G789" s="9">
        <v>244.41</v>
      </c>
      <c r="H789" s="9">
        <v>4.0999999999999996</v>
      </c>
      <c r="I789" s="9">
        <v>0</v>
      </c>
      <c r="J789" s="9">
        <v>0</v>
      </c>
      <c r="K789" s="62" t="s">
        <v>44</v>
      </c>
      <c r="L789" s="63" t="str">
        <f t="shared" si="24"/>
        <v>Jan-2018</v>
      </c>
      <c r="M789" s="29">
        <f t="shared" si="25"/>
        <v>43101</v>
      </c>
    </row>
    <row r="790" spans="1:13" ht="21" x14ac:dyDescent="0.35">
      <c r="A790" s="8">
        <v>2018</v>
      </c>
      <c r="B790" s="9">
        <v>1</v>
      </c>
      <c r="C790" s="17" t="s">
        <v>115</v>
      </c>
      <c r="D790" s="64" t="s">
        <v>121</v>
      </c>
      <c r="E790" s="9">
        <v>2392.990002</v>
      </c>
      <c r="F790" s="9">
        <v>6</v>
      </c>
      <c r="G790" s="9">
        <v>398.83</v>
      </c>
      <c r="H790" s="9">
        <v>4.1666660000000002</v>
      </c>
      <c r="I790" s="9">
        <v>0</v>
      </c>
      <c r="J790" s="9">
        <v>0</v>
      </c>
      <c r="K790" s="62" t="s">
        <v>44</v>
      </c>
      <c r="L790" s="63" t="str">
        <f t="shared" si="24"/>
        <v>Jan-2018</v>
      </c>
      <c r="M790" s="29">
        <f t="shared" si="25"/>
        <v>43101</v>
      </c>
    </row>
    <row r="791" spans="1:13" ht="21" x14ac:dyDescent="0.35">
      <c r="A791" s="8">
        <v>2018</v>
      </c>
      <c r="B791" s="9">
        <v>1</v>
      </c>
      <c r="C791" s="17" t="s">
        <v>118</v>
      </c>
      <c r="D791" s="64" t="s">
        <v>82</v>
      </c>
      <c r="E791" s="9">
        <v>2308.0999929999998</v>
      </c>
      <c r="F791" s="9">
        <v>22</v>
      </c>
      <c r="G791" s="9">
        <v>104.91</v>
      </c>
      <c r="H791" s="9">
        <v>4.40909</v>
      </c>
      <c r="I791" s="9">
        <v>0</v>
      </c>
      <c r="J791" s="9">
        <v>0</v>
      </c>
      <c r="K791" s="62" t="s">
        <v>44</v>
      </c>
      <c r="L791" s="63" t="str">
        <f t="shared" si="24"/>
        <v>Jan-2018</v>
      </c>
      <c r="M791" s="29">
        <f t="shared" si="25"/>
        <v>43101</v>
      </c>
    </row>
    <row r="792" spans="1:13" ht="21" x14ac:dyDescent="0.35">
      <c r="A792" s="8">
        <v>2018</v>
      </c>
      <c r="B792" s="9">
        <v>1</v>
      </c>
      <c r="C792" s="17" t="s">
        <v>120</v>
      </c>
      <c r="D792" s="64" t="s">
        <v>104</v>
      </c>
      <c r="E792" s="9">
        <v>2307.6100499999998</v>
      </c>
      <c r="F792" s="9">
        <v>40</v>
      </c>
      <c r="G792" s="9">
        <v>57.69</v>
      </c>
      <c r="H792" s="9">
        <v>4.0999999999999996</v>
      </c>
      <c r="I792" s="9">
        <v>0</v>
      </c>
      <c r="J792" s="9">
        <v>0</v>
      </c>
      <c r="K792" s="62" t="s">
        <v>44</v>
      </c>
      <c r="L792" s="63" t="str">
        <f t="shared" si="24"/>
        <v>Jan-2018</v>
      </c>
      <c r="M792" s="29">
        <f t="shared" si="25"/>
        <v>43101</v>
      </c>
    </row>
    <row r="793" spans="1:13" ht="21" x14ac:dyDescent="0.35">
      <c r="A793" s="8">
        <v>2018</v>
      </c>
      <c r="B793" s="9">
        <v>1</v>
      </c>
      <c r="C793" s="17" t="s">
        <v>124</v>
      </c>
      <c r="D793" s="64" t="s">
        <v>100</v>
      </c>
      <c r="E793" s="9">
        <v>2228.8899970000002</v>
      </c>
      <c r="F793" s="9">
        <v>9</v>
      </c>
      <c r="G793" s="9">
        <v>247.65</v>
      </c>
      <c r="H793" s="9">
        <v>3.555555</v>
      </c>
      <c r="I793" s="9">
        <v>0</v>
      </c>
      <c r="J793" s="9">
        <v>0</v>
      </c>
      <c r="K793" s="62" t="s">
        <v>44</v>
      </c>
      <c r="L793" s="63" t="str">
        <f t="shared" si="24"/>
        <v>Jan-2018</v>
      </c>
      <c r="M793" s="29">
        <f t="shared" si="25"/>
        <v>43101</v>
      </c>
    </row>
    <row r="794" spans="1:13" ht="21" x14ac:dyDescent="0.35">
      <c r="A794" s="8">
        <v>2018</v>
      </c>
      <c r="B794" s="9">
        <v>1</v>
      </c>
      <c r="C794" s="17" t="s">
        <v>42</v>
      </c>
      <c r="D794" s="64" t="s">
        <v>71</v>
      </c>
      <c r="E794" s="9">
        <v>2180.1500230000001</v>
      </c>
      <c r="F794" s="9">
        <v>41</v>
      </c>
      <c r="G794" s="9">
        <v>53.17</v>
      </c>
      <c r="H794" s="9">
        <v>4.8048780000000004</v>
      </c>
      <c r="I794" s="9">
        <v>0</v>
      </c>
      <c r="J794" s="9">
        <v>0</v>
      </c>
      <c r="K794" s="62" t="s">
        <v>44</v>
      </c>
      <c r="L794" s="63" t="str">
        <f t="shared" si="24"/>
        <v>Jan-2018</v>
      </c>
      <c r="M794" s="29">
        <f t="shared" si="25"/>
        <v>43101</v>
      </c>
    </row>
    <row r="795" spans="1:13" ht="21" x14ac:dyDescent="0.35">
      <c r="A795" s="8">
        <v>2018</v>
      </c>
      <c r="B795" s="9">
        <v>1</v>
      </c>
      <c r="C795" s="17" t="s">
        <v>47</v>
      </c>
      <c r="D795" s="64" t="s">
        <v>96</v>
      </c>
      <c r="E795" s="9">
        <v>1795.0500199999999</v>
      </c>
      <c r="F795" s="9">
        <v>27</v>
      </c>
      <c r="G795" s="9">
        <v>66.48</v>
      </c>
      <c r="H795" s="9">
        <v>4.1481479999999999</v>
      </c>
      <c r="I795" s="9">
        <v>0</v>
      </c>
      <c r="J795" s="9">
        <v>0</v>
      </c>
      <c r="K795" s="62" t="s">
        <v>44</v>
      </c>
      <c r="L795" s="63" t="str">
        <f t="shared" si="24"/>
        <v>Jan-2018</v>
      </c>
      <c r="M795" s="29">
        <f t="shared" si="25"/>
        <v>43101</v>
      </c>
    </row>
    <row r="796" spans="1:13" ht="21" x14ac:dyDescent="0.35">
      <c r="A796" s="8">
        <v>2018</v>
      </c>
      <c r="B796" s="9">
        <v>1</v>
      </c>
      <c r="C796" s="17" t="s">
        <v>125</v>
      </c>
      <c r="D796" s="64" t="s">
        <v>68</v>
      </c>
      <c r="E796" s="9">
        <v>1176.5500139999999</v>
      </c>
      <c r="F796" s="9">
        <v>16</v>
      </c>
      <c r="G796" s="9">
        <v>73.53</v>
      </c>
      <c r="H796" s="9">
        <v>4.8125</v>
      </c>
      <c r="I796" s="9">
        <v>0</v>
      </c>
      <c r="J796" s="9">
        <v>0</v>
      </c>
      <c r="K796" s="62" t="s">
        <v>44</v>
      </c>
      <c r="L796" s="63" t="str">
        <f t="shared" si="24"/>
        <v>Jan-2018</v>
      </c>
      <c r="M796" s="29">
        <f t="shared" si="25"/>
        <v>43101</v>
      </c>
    </row>
    <row r="797" spans="1:13" ht="21" x14ac:dyDescent="0.35">
      <c r="A797" s="8">
        <v>2018</v>
      </c>
      <c r="B797" s="9">
        <v>1</v>
      </c>
      <c r="C797" s="17" t="s">
        <v>76</v>
      </c>
      <c r="D797" s="64" t="s">
        <v>107</v>
      </c>
      <c r="E797" s="9">
        <v>1048.7900030000001</v>
      </c>
      <c r="F797" s="9">
        <v>7</v>
      </c>
      <c r="G797" s="9">
        <v>149.83000000000001</v>
      </c>
      <c r="H797" s="9">
        <v>4</v>
      </c>
      <c r="I797" s="9">
        <v>0</v>
      </c>
      <c r="J797" s="9">
        <v>0</v>
      </c>
      <c r="K797" s="62" t="s">
        <v>44</v>
      </c>
      <c r="L797" s="63" t="str">
        <f t="shared" si="24"/>
        <v>Jan-2018</v>
      </c>
      <c r="M797" s="29">
        <f t="shared" si="25"/>
        <v>43101</v>
      </c>
    </row>
    <row r="798" spans="1:13" ht="21" x14ac:dyDescent="0.35">
      <c r="A798" s="8">
        <v>2018</v>
      </c>
      <c r="B798" s="9">
        <v>1</v>
      </c>
      <c r="C798" s="17" t="s">
        <v>77</v>
      </c>
      <c r="D798" s="64" t="s">
        <v>89</v>
      </c>
      <c r="E798" s="9">
        <v>914.79998780000005</v>
      </c>
      <c r="F798" s="9">
        <v>5</v>
      </c>
      <c r="G798" s="9">
        <v>182.96</v>
      </c>
      <c r="H798" s="9">
        <v>3.6</v>
      </c>
      <c r="I798" s="9">
        <v>0</v>
      </c>
      <c r="J798" s="9">
        <v>0</v>
      </c>
      <c r="K798" s="62" t="s">
        <v>44</v>
      </c>
      <c r="L798" s="63" t="str">
        <f t="shared" si="24"/>
        <v>Jan-2018</v>
      </c>
      <c r="M798" s="29">
        <f t="shared" si="25"/>
        <v>43101</v>
      </c>
    </row>
    <row r="799" spans="1:13" ht="21" x14ac:dyDescent="0.35">
      <c r="A799" s="8">
        <v>2018</v>
      </c>
      <c r="B799" s="9">
        <v>1</v>
      </c>
      <c r="C799" s="17" t="s">
        <v>94</v>
      </c>
      <c r="D799" s="64" t="s">
        <v>72</v>
      </c>
      <c r="E799" s="9">
        <v>868.41000940000004</v>
      </c>
      <c r="F799" s="9">
        <v>19</v>
      </c>
      <c r="G799" s="9">
        <v>45.71</v>
      </c>
      <c r="H799" s="9">
        <v>3.6315780000000002</v>
      </c>
      <c r="I799" s="9">
        <v>0</v>
      </c>
      <c r="J799" s="9">
        <v>0</v>
      </c>
      <c r="K799" s="62" t="s">
        <v>44</v>
      </c>
      <c r="L799" s="63" t="str">
        <f t="shared" si="24"/>
        <v>Jan-2018</v>
      </c>
      <c r="M799" s="29">
        <f t="shared" si="25"/>
        <v>43101</v>
      </c>
    </row>
    <row r="800" spans="1:13" ht="21" x14ac:dyDescent="0.35">
      <c r="A800" s="8">
        <v>2018</v>
      </c>
      <c r="B800" s="9">
        <v>1</v>
      </c>
      <c r="C800" s="17" t="s">
        <v>103</v>
      </c>
      <c r="D800" s="64" t="s">
        <v>112</v>
      </c>
      <c r="E800" s="9">
        <v>860.5</v>
      </c>
      <c r="F800" s="9">
        <v>9</v>
      </c>
      <c r="G800" s="9">
        <v>95.61</v>
      </c>
      <c r="H800" s="9">
        <v>4.3333329999999997</v>
      </c>
      <c r="I800" s="9">
        <v>0</v>
      </c>
      <c r="J800" s="9">
        <v>0</v>
      </c>
      <c r="K800" s="62" t="s">
        <v>44</v>
      </c>
      <c r="L800" s="63" t="str">
        <f t="shared" si="24"/>
        <v>Jan-2018</v>
      </c>
      <c r="M800" s="29">
        <f t="shared" si="25"/>
        <v>43101</v>
      </c>
    </row>
    <row r="801" spans="1:13" ht="21" x14ac:dyDescent="0.35">
      <c r="A801" s="8">
        <v>2018</v>
      </c>
      <c r="B801" s="9">
        <v>1</v>
      </c>
      <c r="C801" s="17" t="s">
        <v>109</v>
      </c>
      <c r="D801" s="64" t="s">
        <v>113</v>
      </c>
      <c r="E801" s="9">
        <v>851.5000076</v>
      </c>
      <c r="F801" s="9">
        <v>9</v>
      </c>
      <c r="G801" s="9">
        <v>94.61</v>
      </c>
      <c r="H801" s="9">
        <v>4.2222220000000004</v>
      </c>
      <c r="I801" s="9">
        <v>0</v>
      </c>
      <c r="J801" s="9">
        <v>0</v>
      </c>
      <c r="K801" s="62" t="s">
        <v>44</v>
      </c>
      <c r="L801" s="63" t="str">
        <f t="shared" si="24"/>
        <v>Jan-2018</v>
      </c>
      <c r="M801" s="29">
        <f t="shared" si="25"/>
        <v>43101</v>
      </c>
    </row>
    <row r="802" spans="1:13" ht="21" x14ac:dyDescent="0.35">
      <c r="A802" s="8">
        <v>2018</v>
      </c>
      <c r="B802" s="9">
        <v>1</v>
      </c>
      <c r="C802" s="17" t="s">
        <v>115</v>
      </c>
      <c r="D802" s="64" t="s">
        <v>59</v>
      </c>
      <c r="E802" s="9">
        <v>818.72000500000001</v>
      </c>
      <c r="F802" s="9">
        <v>12</v>
      </c>
      <c r="G802" s="9">
        <v>68.23</v>
      </c>
      <c r="H802" s="9">
        <v>4.1666660000000002</v>
      </c>
      <c r="I802" s="9">
        <v>0</v>
      </c>
      <c r="J802" s="9">
        <v>0</v>
      </c>
      <c r="K802" s="62" t="s">
        <v>44</v>
      </c>
      <c r="L802" s="63" t="str">
        <f t="shared" si="24"/>
        <v>Jan-2018</v>
      </c>
      <c r="M802" s="29">
        <f t="shared" si="25"/>
        <v>43101</v>
      </c>
    </row>
    <row r="803" spans="1:13" ht="21" x14ac:dyDescent="0.35">
      <c r="A803" s="8">
        <v>2018</v>
      </c>
      <c r="B803" s="9">
        <v>1</v>
      </c>
      <c r="C803" s="17" t="s">
        <v>118</v>
      </c>
      <c r="D803" s="64" t="s">
        <v>87</v>
      </c>
      <c r="E803" s="9">
        <v>754.5000076</v>
      </c>
      <c r="F803" s="9">
        <v>8</v>
      </c>
      <c r="G803" s="9">
        <v>94.31</v>
      </c>
      <c r="H803" s="9">
        <v>4.375</v>
      </c>
      <c r="I803" s="9">
        <v>0</v>
      </c>
      <c r="J803" s="9">
        <v>0</v>
      </c>
      <c r="K803" s="62" t="s">
        <v>44</v>
      </c>
      <c r="L803" s="63" t="str">
        <f t="shared" si="24"/>
        <v>Jan-2018</v>
      </c>
      <c r="M803" s="29">
        <f t="shared" si="25"/>
        <v>43101</v>
      </c>
    </row>
    <row r="804" spans="1:13" ht="21" x14ac:dyDescent="0.35">
      <c r="A804" s="8">
        <v>2018</v>
      </c>
      <c r="B804" s="9">
        <v>1</v>
      </c>
      <c r="C804" s="17" t="s">
        <v>120</v>
      </c>
      <c r="D804" s="64" t="s">
        <v>74</v>
      </c>
      <c r="E804" s="9">
        <v>666.70000270000003</v>
      </c>
      <c r="F804" s="9">
        <v>7</v>
      </c>
      <c r="G804" s="9">
        <v>95.24</v>
      </c>
      <c r="H804" s="9">
        <v>4</v>
      </c>
      <c r="I804" s="9">
        <v>0</v>
      </c>
      <c r="J804" s="9">
        <v>0</v>
      </c>
      <c r="K804" s="62" t="s">
        <v>44</v>
      </c>
      <c r="L804" s="63" t="str">
        <f t="shared" si="24"/>
        <v>Jan-2018</v>
      </c>
      <c r="M804" s="29">
        <f t="shared" si="25"/>
        <v>43101</v>
      </c>
    </row>
    <row r="805" spans="1:13" ht="21" x14ac:dyDescent="0.35">
      <c r="A805" s="8">
        <v>2018</v>
      </c>
      <c r="B805" s="9">
        <v>1</v>
      </c>
      <c r="C805" s="17" t="s">
        <v>124</v>
      </c>
      <c r="D805" s="64" t="s">
        <v>101</v>
      </c>
      <c r="E805" s="9">
        <v>583</v>
      </c>
      <c r="F805" s="9">
        <v>6</v>
      </c>
      <c r="G805" s="9">
        <v>97.17</v>
      </c>
      <c r="H805" s="9">
        <v>3.8333330000000001</v>
      </c>
      <c r="I805" s="9">
        <v>0</v>
      </c>
      <c r="J805" s="9">
        <v>0</v>
      </c>
      <c r="K805" s="62" t="s">
        <v>44</v>
      </c>
      <c r="L805" s="63" t="str">
        <f t="shared" si="24"/>
        <v>Jan-2018</v>
      </c>
      <c r="M805" s="29">
        <f t="shared" si="25"/>
        <v>43101</v>
      </c>
    </row>
    <row r="806" spans="1:13" ht="21" x14ac:dyDescent="0.35">
      <c r="A806" s="8">
        <v>2018</v>
      </c>
      <c r="B806" s="9">
        <v>1</v>
      </c>
      <c r="C806" s="17" t="s">
        <v>42</v>
      </c>
      <c r="D806" s="64" t="s">
        <v>75</v>
      </c>
      <c r="E806" s="9">
        <v>550.60000609999997</v>
      </c>
      <c r="F806" s="9">
        <v>5</v>
      </c>
      <c r="G806" s="9">
        <v>110.12</v>
      </c>
      <c r="H806" s="9">
        <v>3.8</v>
      </c>
      <c r="I806" s="9">
        <v>0</v>
      </c>
      <c r="J806" s="9">
        <v>0</v>
      </c>
      <c r="K806" s="62" t="s">
        <v>44</v>
      </c>
      <c r="L806" s="63" t="str">
        <f t="shared" si="24"/>
        <v>Jan-2018</v>
      </c>
      <c r="M806" s="29">
        <f t="shared" si="25"/>
        <v>43101</v>
      </c>
    </row>
    <row r="807" spans="1:13" ht="21" x14ac:dyDescent="0.35">
      <c r="A807" s="8">
        <v>2018</v>
      </c>
      <c r="B807" s="9">
        <v>1</v>
      </c>
      <c r="C807" s="17" t="s">
        <v>47</v>
      </c>
      <c r="D807" s="64" t="s">
        <v>110</v>
      </c>
      <c r="E807" s="9">
        <v>532.29998780000005</v>
      </c>
      <c r="F807" s="9">
        <v>8</v>
      </c>
      <c r="G807" s="9">
        <v>66.540000000000006</v>
      </c>
      <c r="H807" s="9">
        <v>3.8571420000000001</v>
      </c>
      <c r="I807" s="9">
        <v>0</v>
      </c>
      <c r="J807" s="9">
        <v>0</v>
      </c>
      <c r="K807" s="62" t="s">
        <v>44</v>
      </c>
      <c r="L807" s="63" t="str">
        <f t="shared" si="24"/>
        <v>Jan-2018</v>
      </c>
      <c r="M807" s="29">
        <f t="shared" si="25"/>
        <v>43101</v>
      </c>
    </row>
    <row r="808" spans="1:13" ht="21" x14ac:dyDescent="0.35">
      <c r="A808" s="8">
        <v>2018</v>
      </c>
      <c r="B808" s="9">
        <v>1</v>
      </c>
      <c r="C808" s="17" t="s">
        <v>125</v>
      </c>
      <c r="D808" s="64" t="s">
        <v>119</v>
      </c>
      <c r="E808" s="9">
        <v>369.98999020000002</v>
      </c>
      <c r="F808" s="9">
        <v>1</v>
      </c>
      <c r="G808" s="9">
        <v>369.99</v>
      </c>
      <c r="H808" s="9">
        <v>5</v>
      </c>
      <c r="I808" s="9">
        <v>0</v>
      </c>
      <c r="J808" s="9">
        <v>0</v>
      </c>
      <c r="K808" s="62" t="s">
        <v>44</v>
      </c>
      <c r="L808" s="63" t="str">
        <f t="shared" si="24"/>
        <v>Jan-2018</v>
      </c>
      <c r="M808" s="29">
        <f t="shared" si="25"/>
        <v>43101</v>
      </c>
    </row>
    <row r="809" spans="1:13" ht="21" x14ac:dyDescent="0.35">
      <c r="A809" s="8">
        <v>2018</v>
      </c>
      <c r="B809" s="9">
        <v>1</v>
      </c>
      <c r="C809" s="17" t="s">
        <v>76</v>
      </c>
      <c r="D809" s="64" t="s">
        <v>106</v>
      </c>
      <c r="E809" s="9">
        <v>341.17000009999998</v>
      </c>
      <c r="F809" s="9">
        <v>10</v>
      </c>
      <c r="G809" s="9">
        <v>34.119999999999997</v>
      </c>
      <c r="H809" s="9">
        <v>4.4000000000000004</v>
      </c>
      <c r="I809" s="9">
        <v>0</v>
      </c>
      <c r="J809" s="9">
        <v>0</v>
      </c>
      <c r="K809" s="62" t="s">
        <v>44</v>
      </c>
      <c r="L809" s="63" t="str">
        <f t="shared" si="24"/>
        <v>Jan-2018</v>
      </c>
      <c r="M809" s="29">
        <f t="shared" si="25"/>
        <v>43101</v>
      </c>
    </row>
    <row r="810" spans="1:13" ht="21" x14ac:dyDescent="0.35">
      <c r="A810" s="8">
        <v>2018</v>
      </c>
      <c r="B810" s="9">
        <v>1</v>
      </c>
      <c r="C810" s="17" t="s">
        <v>77</v>
      </c>
      <c r="D810" s="64" t="s">
        <v>126</v>
      </c>
      <c r="E810" s="9">
        <v>284.6000042</v>
      </c>
      <c r="F810" s="9">
        <v>7</v>
      </c>
      <c r="G810" s="9">
        <v>40.659999999999997</v>
      </c>
      <c r="H810" s="9">
        <v>4.1666660000000002</v>
      </c>
      <c r="I810" s="9">
        <v>0</v>
      </c>
      <c r="J810" s="9">
        <v>0</v>
      </c>
      <c r="K810" s="62" t="s">
        <v>44</v>
      </c>
      <c r="L810" s="63" t="str">
        <f t="shared" si="24"/>
        <v>Jan-2018</v>
      </c>
      <c r="M810" s="29">
        <f t="shared" si="25"/>
        <v>43101</v>
      </c>
    </row>
    <row r="811" spans="1:13" ht="21" x14ac:dyDescent="0.35">
      <c r="A811" s="8">
        <v>2018</v>
      </c>
      <c r="B811" s="9">
        <v>1</v>
      </c>
      <c r="C811" s="17" t="s">
        <v>94</v>
      </c>
      <c r="D811" s="64" t="s">
        <v>102</v>
      </c>
      <c r="E811" s="9">
        <v>199.97999569999999</v>
      </c>
      <c r="F811" s="9">
        <v>2</v>
      </c>
      <c r="G811" s="9">
        <v>99.99</v>
      </c>
      <c r="H811" s="9">
        <v>5</v>
      </c>
      <c r="I811" s="9">
        <v>0</v>
      </c>
      <c r="J811" s="9">
        <v>0</v>
      </c>
      <c r="K811" s="62" t="s">
        <v>44</v>
      </c>
      <c r="L811" s="63" t="str">
        <f t="shared" si="24"/>
        <v>Jan-2018</v>
      </c>
      <c r="M811" s="29">
        <f t="shared" si="25"/>
        <v>43101</v>
      </c>
    </row>
    <row r="812" spans="1:13" ht="21" x14ac:dyDescent="0.35">
      <c r="A812" s="8">
        <v>2018</v>
      </c>
      <c r="B812" s="9">
        <v>1</v>
      </c>
      <c r="C812" s="17" t="s">
        <v>103</v>
      </c>
      <c r="D812" s="64" t="s">
        <v>95</v>
      </c>
      <c r="E812" s="9">
        <v>161.8000031</v>
      </c>
      <c r="F812" s="9">
        <v>3</v>
      </c>
      <c r="G812" s="9">
        <v>53.93</v>
      </c>
      <c r="H812" s="9">
        <v>4.3333329999999997</v>
      </c>
      <c r="I812" s="9">
        <v>0</v>
      </c>
      <c r="J812" s="9">
        <v>0</v>
      </c>
      <c r="K812" s="62" t="s">
        <v>44</v>
      </c>
      <c r="L812" s="63" t="str">
        <f t="shared" si="24"/>
        <v>Jan-2018</v>
      </c>
      <c r="M812" s="29">
        <f t="shared" si="25"/>
        <v>43101</v>
      </c>
    </row>
    <row r="813" spans="1:13" ht="21" x14ac:dyDescent="0.35">
      <c r="A813" s="8">
        <v>2018</v>
      </c>
      <c r="B813" s="9">
        <v>1</v>
      </c>
      <c r="C813" s="17" t="s">
        <v>109</v>
      </c>
      <c r="D813" s="64" t="s">
        <v>73</v>
      </c>
      <c r="E813" s="9">
        <v>161.7900028</v>
      </c>
      <c r="F813" s="9">
        <v>3</v>
      </c>
      <c r="G813" s="9">
        <v>53.93</v>
      </c>
      <c r="H813" s="9">
        <v>5</v>
      </c>
      <c r="I813" s="9">
        <v>0</v>
      </c>
      <c r="J813" s="9">
        <v>0</v>
      </c>
      <c r="K813" s="62" t="s">
        <v>44</v>
      </c>
      <c r="L813" s="63" t="str">
        <f t="shared" si="24"/>
        <v>Jan-2018</v>
      </c>
      <c r="M813" s="29">
        <f t="shared" si="25"/>
        <v>43101</v>
      </c>
    </row>
    <row r="814" spans="1:13" ht="21" x14ac:dyDescent="0.35">
      <c r="A814" s="8">
        <v>2018</v>
      </c>
      <c r="B814" s="9">
        <v>1</v>
      </c>
      <c r="C814" s="17" t="s">
        <v>115</v>
      </c>
      <c r="D814" s="64" t="s">
        <v>123</v>
      </c>
      <c r="E814" s="9">
        <v>135.8000031</v>
      </c>
      <c r="F814" s="9">
        <v>2</v>
      </c>
      <c r="G814" s="9">
        <v>67.900000000000006</v>
      </c>
      <c r="H814" s="9">
        <v>3.5</v>
      </c>
      <c r="I814" s="9">
        <v>0</v>
      </c>
      <c r="J814" s="9">
        <v>0</v>
      </c>
      <c r="K814" s="62" t="s">
        <v>44</v>
      </c>
      <c r="L814" s="63" t="str">
        <f t="shared" si="24"/>
        <v>Jan-2018</v>
      </c>
      <c r="M814" s="29">
        <f t="shared" si="25"/>
        <v>43101</v>
      </c>
    </row>
    <row r="815" spans="1:13" ht="21" x14ac:dyDescent="0.35">
      <c r="A815" s="8">
        <v>2018</v>
      </c>
      <c r="B815" s="9">
        <v>1</v>
      </c>
      <c r="C815" s="17" t="s">
        <v>118</v>
      </c>
      <c r="D815" s="64" t="s">
        <v>70</v>
      </c>
      <c r="E815" s="9">
        <v>125</v>
      </c>
      <c r="F815" s="9">
        <v>1</v>
      </c>
      <c r="G815" s="9">
        <v>125</v>
      </c>
      <c r="H815" s="9">
        <v>1</v>
      </c>
      <c r="I815" s="9">
        <v>0</v>
      </c>
      <c r="J815" s="9">
        <v>0</v>
      </c>
      <c r="K815" s="62" t="s">
        <v>44</v>
      </c>
      <c r="L815" s="63" t="str">
        <f t="shared" si="24"/>
        <v>Jan-2018</v>
      </c>
      <c r="M815" s="29">
        <f t="shared" si="25"/>
        <v>43101</v>
      </c>
    </row>
    <row r="816" spans="1:13" ht="21" x14ac:dyDescent="0.35">
      <c r="A816" s="8">
        <v>2018</v>
      </c>
      <c r="B816" s="9">
        <v>1</v>
      </c>
      <c r="C816" s="17" t="s">
        <v>120</v>
      </c>
      <c r="D816" s="64" t="s">
        <v>108</v>
      </c>
      <c r="E816" s="9">
        <v>119.8000031</v>
      </c>
      <c r="F816" s="9">
        <v>2</v>
      </c>
      <c r="G816" s="9">
        <v>59.9</v>
      </c>
      <c r="H816" s="9">
        <v>4</v>
      </c>
      <c r="I816" s="9">
        <v>0</v>
      </c>
      <c r="J816" s="9">
        <v>0</v>
      </c>
      <c r="K816" s="62" t="s">
        <v>44</v>
      </c>
      <c r="L816" s="63" t="str">
        <f t="shared" si="24"/>
        <v>Jan-2018</v>
      </c>
      <c r="M816" s="29">
        <f t="shared" si="25"/>
        <v>43101</v>
      </c>
    </row>
    <row r="817" spans="1:13" ht="21" x14ac:dyDescent="0.35">
      <c r="A817" s="8">
        <v>2018</v>
      </c>
      <c r="B817" s="9">
        <v>1</v>
      </c>
      <c r="C817" s="17" t="s">
        <v>124</v>
      </c>
      <c r="D817" s="64" t="s">
        <v>114</v>
      </c>
      <c r="E817" s="9">
        <v>112</v>
      </c>
      <c r="F817" s="9">
        <v>1</v>
      </c>
      <c r="G817" s="9">
        <v>112</v>
      </c>
      <c r="H817" s="9">
        <v>5</v>
      </c>
      <c r="I817" s="9">
        <v>0</v>
      </c>
      <c r="J817" s="9">
        <v>0</v>
      </c>
      <c r="K817" s="62" t="s">
        <v>44</v>
      </c>
      <c r="L817" s="63" t="str">
        <f t="shared" si="24"/>
        <v>Jan-2018</v>
      </c>
      <c r="M817" s="29">
        <f t="shared" si="25"/>
        <v>43101</v>
      </c>
    </row>
    <row r="818" spans="1:13" ht="21" x14ac:dyDescent="0.35">
      <c r="A818" s="8">
        <v>2018</v>
      </c>
      <c r="B818" s="9">
        <v>1</v>
      </c>
      <c r="C818" s="17" t="s">
        <v>42</v>
      </c>
      <c r="D818" s="64" t="s">
        <v>92</v>
      </c>
      <c r="E818" s="9">
        <v>49.799999239999998</v>
      </c>
      <c r="F818" s="9">
        <v>2</v>
      </c>
      <c r="G818" s="9">
        <v>24.9</v>
      </c>
      <c r="H818" s="9">
        <v>5</v>
      </c>
      <c r="I818" s="9">
        <v>0</v>
      </c>
      <c r="J818" s="9">
        <v>0</v>
      </c>
      <c r="K818" s="62" t="s">
        <v>44</v>
      </c>
      <c r="L818" s="63" t="str">
        <f t="shared" si="24"/>
        <v>Jan-2018</v>
      </c>
      <c r="M818" s="29">
        <f t="shared" si="25"/>
        <v>43101</v>
      </c>
    </row>
    <row r="819" spans="1:13" ht="21" x14ac:dyDescent="0.35">
      <c r="A819" s="8">
        <v>2018</v>
      </c>
      <c r="B819" s="9">
        <v>1</v>
      </c>
      <c r="C819" s="17" t="s">
        <v>47</v>
      </c>
      <c r="D819" s="64" t="s">
        <v>93</v>
      </c>
      <c r="E819" s="9">
        <v>24.969999309999999</v>
      </c>
      <c r="F819" s="9">
        <v>1</v>
      </c>
      <c r="G819" s="9">
        <v>24.97</v>
      </c>
      <c r="H819" s="9">
        <v>5</v>
      </c>
      <c r="I819" s="9">
        <v>0</v>
      </c>
      <c r="J819" s="9">
        <v>0</v>
      </c>
      <c r="K819" s="62" t="s">
        <v>44</v>
      </c>
      <c r="L819" s="63" t="str">
        <f t="shared" si="24"/>
        <v>Jan-2018</v>
      </c>
      <c r="M819" s="29">
        <f t="shared" si="25"/>
        <v>43101</v>
      </c>
    </row>
    <row r="820" spans="1:13" ht="21" x14ac:dyDescent="0.35">
      <c r="A820" s="8">
        <v>2018</v>
      </c>
      <c r="B820" s="9">
        <v>2</v>
      </c>
      <c r="C820" s="17" t="s">
        <v>125</v>
      </c>
      <c r="D820" s="64" t="s">
        <v>56</v>
      </c>
      <c r="E820" s="9">
        <v>100855.2298</v>
      </c>
      <c r="F820" s="9">
        <v>801</v>
      </c>
      <c r="G820" s="9">
        <v>125.91</v>
      </c>
      <c r="H820" s="9">
        <v>3.659748</v>
      </c>
      <c r="I820" s="9">
        <v>5</v>
      </c>
      <c r="J820" s="9">
        <v>0.62</v>
      </c>
      <c r="K820" s="62" t="s">
        <v>44</v>
      </c>
      <c r="L820" s="63" t="str">
        <f t="shared" si="24"/>
        <v>Feb-2018</v>
      </c>
      <c r="M820" s="29">
        <f t="shared" si="25"/>
        <v>43132</v>
      </c>
    </row>
    <row r="821" spans="1:13" ht="21" x14ac:dyDescent="0.35">
      <c r="A821" s="8">
        <v>2018</v>
      </c>
      <c r="B821" s="9">
        <v>2</v>
      </c>
      <c r="C821" s="17" t="s">
        <v>76</v>
      </c>
      <c r="D821" s="64" t="s">
        <v>43</v>
      </c>
      <c r="E821" s="9">
        <v>86996.060540000006</v>
      </c>
      <c r="F821" s="9">
        <v>607</v>
      </c>
      <c r="G821" s="9">
        <v>143.32</v>
      </c>
      <c r="H821" s="9">
        <v>4.0281919999999998</v>
      </c>
      <c r="I821" s="9">
        <v>8</v>
      </c>
      <c r="J821" s="9">
        <v>1.32</v>
      </c>
      <c r="K821" s="62" t="s">
        <v>44</v>
      </c>
      <c r="L821" s="63" t="str">
        <f t="shared" si="24"/>
        <v>Feb-2018</v>
      </c>
      <c r="M821" s="29">
        <f t="shared" si="25"/>
        <v>43132</v>
      </c>
    </row>
    <row r="822" spans="1:13" ht="21" x14ac:dyDescent="0.35">
      <c r="A822" s="8">
        <v>2018</v>
      </c>
      <c r="B822" s="9">
        <v>2</v>
      </c>
      <c r="C822" s="17" t="s">
        <v>77</v>
      </c>
      <c r="D822" s="64" t="s">
        <v>52</v>
      </c>
      <c r="E822" s="9">
        <v>75863.949930000002</v>
      </c>
      <c r="F822" s="9">
        <v>585</v>
      </c>
      <c r="G822" s="9">
        <v>129.68</v>
      </c>
      <c r="H822" s="9">
        <v>3.848198</v>
      </c>
      <c r="I822" s="9">
        <v>6</v>
      </c>
      <c r="J822" s="9">
        <v>1.03</v>
      </c>
      <c r="K822" s="62" t="s">
        <v>44</v>
      </c>
      <c r="L822" s="63" t="str">
        <f t="shared" si="24"/>
        <v>Feb-2018</v>
      </c>
      <c r="M822" s="29">
        <f t="shared" si="25"/>
        <v>43132</v>
      </c>
    </row>
    <row r="823" spans="1:13" ht="21" x14ac:dyDescent="0.35">
      <c r="A823" s="8">
        <v>2018</v>
      </c>
      <c r="B823" s="9">
        <v>2</v>
      </c>
      <c r="C823" s="17" t="s">
        <v>94</v>
      </c>
      <c r="D823" s="64" t="s">
        <v>51</v>
      </c>
      <c r="E823" s="9">
        <v>63462.179900000003</v>
      </c>
      <c r="F823" s="9">
        <v>317</v>
      </c>
      <c r="G823" s="9">
        <v>200.2</v>
      </c>
      <c r="H823" s="9">
        <v>3.6719740000000001</v>
      </c>
      <c r="I823" s="9">
        <v>7</v>
      </c>
      <c r="J823" s="9">
        <v>2.21</v>
      </c>
      <c r="K823" s="62" t="s">
        <v>44</v>
      </c>
      <c r="L823" s="63" t="str">
        <f t="shared" si="24"/>
        <v>Feb-2018</v>
      </c>
      <c r="M823" s="29">
        <f t="shared" si="25"/>
        <v>43132</v>
      </c>
    </row>
    <row r="824" spans="1:13" ht="21" x14ac:dyDescent="0.35">
      <c r="A824" s="8">
        <v>2018</v>
      </c>
      <c r="B824" s="9">
        <v>2</v>
      </c>
      <c r="C824" s="17" t="s">
        <v>103</v>
      </c>
      <c r="D824" s="64" t="s">
        <v>66</v>
      </c>
      <c r="E824" s="9">
        <v>60690.880120000002</v>
      </c>
      <c r="F824" s="9">
        <v>593</v>
      </c>
      <c r="G824" s="9">
        <v>102.35</v>
      </c>
      <c r="H824" s="9">
        <v>3.634582</v>
      </c>
      <c r="I824" s="9">
        <v>3</v>
      </c>
      <c r="J824" s="9">
        <v>0.51</v>
      </c>
      <c r="K824" s="62" t="s">
        <v>44</v>
      </c>
      <c r="L824" s="63" t="str">
        <f t="shared" si="24"/>
        <v>Feb-2018</v>
      </c>
      <c r="M824" s="29">
        <f t="shared" si="25"/>
        <v>43132</v>
      </c>
    </row>
    <row r="825" spans="1:13" ht="21" x14ac:dyDescent="0.35">
      <c r="A825" s="8">
        <v>2018</v>
      </c>
      <c r="B825" s="9">
        <v>2</v>
      </c>
      <c r="C825" s="17" t="s">
        <v>109</v>
      </c>
      <c r="D825" s="64" t="s">
        <v>53</v>
      </c>
      <c r="E825" s="9">
        <v>41706.890070000001</v>
      </c>
      <c r="F825" s="9">
        <v>303</v>
      </c>
      <c r="G825" s="9">
        <v>137.65</v>
      </c>
      <c r="H825" s="9">
        <v>3.8887040000000002</v>
      </c>
      <c r="I825" s="9">
        <v>1</v>
      </c>
      <c r="J825" s="9">
        <v>0.33</v>
      </c>
      <c r="K825" s="62" t="s">
        <v>44</v>
      </c>
      <c r="L825" s="63" t="str">
        <f t="shared" si="24"/>
        <v>Feb-2018</v>
      </c>
      <c r="M825" s="29">
        <f t="shared" si="25"/>
        <v>43132</v>
      </c>
    </row>
    <row r="826" spans="1:13" ht="21" x14ac:dyDescent="0.35">
      <c r="A826" s="8">
        <v>2018</v>
      </c>
      <c r="B826" s="9">
        <v>2</v>
      </c>
      <c r="C826" s="17" t="s">
        <v>115</v>
      </c>
      <c r="D826" s="64" t="s">
        <v>45</v>
      </c>
      <c r="E826" s="9">
        <v>38646.520259999998</v>
      </c>
      <c r="F826" s="9">
        <v>342</v>
      </c>
      <c r="G826" s="9">
        <v>113</v>
      </c>
      <c r="H826" s="9">
        <v>3.7062309999999998</v>
      </c>
      <c r="I826" s="9">
        <v>2</v>
      </c>
      <c r="J826" s="9">
        <v>0.57999999999999996</v>
      </c>
      <c r="K826" s="62" t="s">
        <v>44</v>
      </c>
      <c r="L826" s="63" t="str">
        <f t="shared" si="24"/>
        <v>Feb-2018</v>
      </c>
      <c r="M826" s="29">
        <f t="shared" si="25"/>
        <v>43132</v>
      </c>
    </row>
    <row r="827" spans="1:13" ht="21" x14ac:dyDescent="0.35">
      <c r="A827" s="8">
        <v>2018</v>
      </c>
      <c r="B827" s="9">
        <v>2</v>
      </c>
      <c r="C827" s="17" t="s">
        <v>118</v>
      </c>
      <c r="D827" s="64" t="s">
        <v>61</v>
      </c>
      <c r="E827" s="9">
        <v>35448.56005</v>
      </c>
      <c r="F827" s="9">
        <v>342</v>
      </c>
      <c r="G827" s="9">
        <v>103.65</v>
      </c>
      <c r="H827" s="9">
        <v>3.9718930000000001</v>
      </c>
      <c r="I827" s="9">
        <v>5</v>
      </c>
      <c r="J827" s="9">
        <v>1.46</v>
      </c>
      <c r="K827" s="62" t="s">
        <v>44</v>
      </c>
      <c r="L827" s="63" t="str">
        <f t="shared" si="24"/>
        <v>Feb-2018</v>
      </c>
      <c r="M827" s="29">
        <f t="shared" si="25"/>
        <v>43132</v>
      </c>
    </row>
    <row r="828" spans="1:13" ht="21" x14ac:dyDescent="0.35">
      <c r="A828" s="8">
        <v>2018</v>
      </c>
      <c r="B828" s="9">
        <v>2</v>
      </c>
      <c r="C828" s="17" t="s">
        <v>120</v>
      </c>
      <c r="D828" s="64" t="s">
        <v>62</v>
      </c>
      <c r="E828" s="9">
        <v>31002.210289999999</v>
      </c>
      <c r="F828" s="9">
        <v>182</v>
      </c>
      <c r="G828" s="9">
        <v>170.34</v>
      </c>
      <c r="H828" s="9">
        <v>3.8820220000000001</v>
      </c>
      <c r="I828" s="9">
        <v>1</v>
      </c>
      <c r="J828" s="9">
        <v>0.55000000000000004</v>
      </c>
      <c r="K828" s="62" t="s">
        <v>44</v>
      </c>
      <c r="L828" s="63" t="str">
        <f t="shared" si="24"/>
        <v>Feb-2018</v>
      </c>
      <c r="M828" s="29">
        <f t="shared" si="25"/>
        <v>43132</v>
      </c>
    </row>
    <row r="829" spans="1:13" ht="21" x14ac:dyDescent="0.35">
      <c r="A829" s="8">
        <v>2018</v>
      </c>
      <c r="B829" s="9">
        <v>2</v>
      </c>
      <c r="C829" s="17" t="s">
        <v>124</v>
      </c>
      <c r="D829" s="64" t="s">
        <v>57</v>
      </c>
      <c r="E829" s="9">
        <v>26838.03026</v>
      </c>
      <c r="F829" s="9">
        <v>232</v>
      </c>
      <c r="G829" s="9">
        <v>115.68</v>
      </c>
      <c r="H829" s="9">
        <v>3.8211200000000001</v>
      </c>
      <c r="I829" s="9">
        <v>1</v>
      </c>
      <c r="J829" s="9">
        <v>0.43</v>
      </c>
      <c r="K829" s="62" t="s">
        <v>44</v>
      </c>
      <c r="L829" s="63" t="str">
        <f t="shared" si="24"/>
        <v>Feb-2018</v>
      </c>
      <c r="M829" s="29">
        <f t="shared" si="25"/>
        <v>43132</v>
      </c>
    </row>
    <row r="830" spans="1:13" ht="21" x14ac:dyDescent="0.35">
      <c r="A830" s="8">
        <v>2018</v>
      </c>
      <c r="B830" s="9">
        <v>2</v>
      </c>
      <c r="C830" s="17" t="s">
        <v>42</v>
      </c>
      <c r="D830" s="64" t="s">
        <v>55</v>
      </c>
      <c r="E830" s="9">
        <v>25985.82012</v>
      </c>
      <c r="F830" s="9">
        <v>169</v>
      </c>
      <c r="G830" s="9">
        <v>153.76</v>
      </c>
      <c r="H830" s="9">
        <v>3.7005979999999998</v>
      </c>
      <c r="I830" s="9">
        <v>3</v>
      </c>
      <c r="J830" s="9">
        <v>1.78</v>
      </c>
      <c r="K830" s="62" t="s">
        <v>44</v>
      </c>
      <c r="L830" s="63" t="str">
        <f t="shared" si="24"/>
        <v>Feb-2018</v>
      </c>
      <c r="M830" s="29">
        <f t="shared" si="25"/>
        <v>43132</v>
      </c>
    </row>
    <row r="831" spans="1:13" ht="21" x14ac:dyDescent="0.35">
      <c r="A831" s="8">
        <v>2018</v>
      </c>
      <c r="B831" s="9">
        <v>2</v>
      </c>
      <c r="C831" s="17" t="s">
        <v>47</v>
      </c>
      <c r="D831" s="64" t="s">
        <v>48</v>
      </c>
      <c r="E831" s="9">
        <v>20632.700099999998</v>
      </c>
      <c r="F831" s="9">
        <v>198</v>
      </c>
      <c r="G831" s="9">
        <v>104.21</v>
      </c>
      <c r="H831" s="9">
        <v>4.1598980000000001</v>
      </c>
      <c r="I831" s="9">
        <v>3</v>
      </c>
      <c r="J831" s="9">
        <v>1.52</v>
      </c>
      <c r="K831" s="62" t="s">
        <v>44</v>
      </c>
      <c r="L831" s="63" t="str">
        <f t="shared" si="24"/>
        <v>Feb-2018</v>
      </c>
      <c r="M831" s="29">
        <f t="shared" si="25"/>
        <v>43132</v>
      </c>
    </row>
    <row r="832" spans="1:13" ht="21" x14ac:dyDescent="0.35">
      <c r="A832" s="8">
        <v>2018</v>
      </c>
      <c r="B832" s="9">
        <v>2</v>
      </c>
      <c r="C832" s="17" t="s">
        <v>125</v>
      </c>
      <c r="D832" s="64" t="s">
        <v>60</v>
      </c>
      <c r="E832" s="9">
        <v>17774.780050000001</v>
      </c>
      <c r="F832" s="9">
        <v>72</v>
      </c>
      <c r="G832" s="9">
        <v>246.87</v>
      </c>
      <c r="H832" s="9">
        <v>3.225352</v>
      </c>
      <c r="I832" s="9">
        <v>0</v>
      </c>
      <c r="J832" s="9">
        <v>0</v>
      </c>
      <c r="K832" s="62" t="s">
        <v>44</v>
      </c>
      <c r="L832" s="63" t="str">
        <f t="shared" si="24"/>
        <v>Feb-2018</v>
      </c>
      <c r="M832" s="29">
        <f t="shared" si="25"/>
        <v>43132</v>
      </c>
    </row>
    <row r="833" spans="1:13" ht="21" x14ac:dyDescent="0.35">
      <c r="A833" s="8">
        <v>2018</v>
      </c>
      <c r="B833" s="9">
        <v>2</v>
      </c>
      <c r="C833" s="17" t="s">
        <v>76</v>
      </c>
      <c r="D833" s="64" t="s">
        <v>58</v>
      </c>
      <c r="E833" s="9">
        <v>14780.59986</v>
      </c>
      <c r="F833" s="9">
        <v>301</v>
      </c>
      <c r="G833" s="9">
        <v>49.1</v>
      </c>
      <c r="H833" s="9">
        <v>3.909395</v>
      </c>
      <c r="I833" s="9">
        <v>1</v>
      </c>
      <c r="J833" s="9">
        <v>0.33</v>
      </c>
      <c r="K833" s="62" t="s">
        <v>44</v>
      </c>
      <c r="L833" s="63" t="str">
        <f t="shared" si="24"/>
        <v>Feb-2018</v>
      </c>
      <c r="M833" s="29">
        <f t="shared" si="25"/>
        <v>43132</v>
      </c>
    </row>
    <row r="834" spans="1:13" ht="21" x14ac:dyDescent="0.35">
      <c r="A834" s="8">
        <v>2018</v>
      </c>
      <c r="B834" s="9">
        <v>2</v>
      </c>
      <c r="C834" s="17" t="s">
        <v>77</v>
      </c>
      <c r="D834" s="64" t="s">
        <v>49</v>
      </c>
      <c r="E834" s="9">
        <v>14778.929980000001</v>
      </c>
      <c r="F834" s="9">
        <v>137</v>
      </c>
      <c r="G834" s="9">
        <v>107.88</v>
      </c>
      <c r="H834" s="9">
        <v>3.8713229999999998</v>
      </c>
      <c r="I834" s="9">
        <v>4</v>
      </c>
      <c r="J834" s="9">
        <v>2.92</v>
      </c>
      <c r="K834" s="62" t="s">
        <v>44</v>
      </c>
      <c r="L834" s="63" t="str">
        <f t="shared" ref="L834:L897" si="26">TEXT(DATE(A834,B834,1),"mmm-yyyy")</f>
        <v>Feb-2018</v>
      </c>
      <c r="M834" s="29">
        <f t="shared" ref="M834:M897" si="27">DATE(A834,B834,1)</f>
        <v>43132</v>
      </c>
    </row>
    <row r="835" spans="1:13" ht="21" x14ac:dyDescent="0.35">
      <c r="A835" s="8">
        <v>2018</v>
      </c>
      <c r="B835" s="9">
        <v>2</v>
      </c>
      <c r="C835" s="17" t="s">
        <v>94</v>
      </c>
      <c r="D835" s="64" t="s">
        <v>46</v>
      </c>
      <c r="E835" s="9">
        <v>14105.23999</v>
      </c>
      <c r="F835" s="9">
        <v>333</v>
      </c>
      <c r="G835" s="9">
        <v>42.36</v>
      </c>
      <c r="H835" s="9">
        <v>3.90909</v>
      </c>
      <c r="I835" s="9">
        <v>3</v>
      </c>
      <c r="J835" s="9">
        <v>0.9</v>
      </c>
      <c r="K835" s="62" t="s">
        <v>44</v>
      </c>
      <c r="L835" s="63" t="str">
        <f t="shared" si="26"/>
        <v>Feb-2018</v>
      </c>
      <c r="M835" s="29">
        <f t="shared" si="27"/>
        <v>43132</v>
      </c>
    </row>
    <row r="836" spans="1:13" ht="21" x14ac:dyDescent="0.35">
      <c r="A836" s="8">
        <v>2018</v>
      </c>
      <c r="B836" s="9">
        <v>2</v>
      </c>
      <c r="C836" s="17" t="s">
        <v>103</v>
      </c>
      <c r="D836" s="64" t="s">
        <v>0</v>
      </c>
      <c r="E836" s="9">
        <v>12758.749900000001</v>
      </c>
      <c r="F836" s="9">
        <v>110</v>
      </c>
      <c r="G836" s="9">
        <v>115.99</v>
      </c>
      <c r="H836" s="9" t="s">
        <v>0</v>
      </c>
      <c r="I836" s="9" t="s">
        <v>0</v>
      </c>
      <c r="J836" s="9" t="s">
        <v>0</v>
      </c>
      <c r="K836" s="62" t="s">
        <v>44</v>
      </c>
      <c r="L836" s="63" t="str">
        <f t="shared" si="26"/>
        <v>Feb-2018</v>
      </c>
      <c r="M836" s="29">
        <f t="shared" si="27"/>
        <v>43132</v>
      </c>
    </row>
    <row r="837" spans="1:13" ht="21" x14ac:dyDescent="0.35">
      <c r="A837" s="8">
        <v>2018</v>
      </c>
      <c r="B837" s="9">
        <v>2</v>
      </c>
      <c r="C837" s="17" t="s">
        <v>109</v>
      </c>
      <c r="D837" s="64" t="s">
        <v>50</v>
      </c>
      <c r="E837" s="9">
        <v>11978.73007</v>
      </c>
      <c r="F837" s="9">
        <v>51</v>
      </c>
      <c r="G837" s="9">
        <v>234.88</v>
      </c>
      <c r="H837" s="9">
        <v>3.5686270000000002</v>
      </c>
      <c r="I837" s="9">
        <v>0</v>
      </c>
      <c r="J837" s="9">
        <v>0</v>
      </c>
      <c r="K837" s="62" t="s">
        <v>44</v>
      </c>
      <c r="L837" s="63" t="str">
        <f t="shared" si="26"/>
        <v>Feb-2018</v>
      </c>
      <c r="M837" s="29">
        <f t="shared" si="27"/>
        <v>43132</v>
      </c>
    </row>
    <row r="838" spans="1:13" ht="21" x14ac:dyDescent="0.35">
      <c r="A838" s="8">
        <v>2018</v>
      </c>
      <c r="B838" s="9">
        <v>2</v>
      </c>
      <c r="C838" s="17" t="s">
        <v>115</v>
      </c>
      <c r="D838" s="64" t="s">
        <v>81</v>
      </c>
      <c r="E838" s="9">
        <v>11889.1</v>
      </c>
      <c r="F838" s="9">
        <v>144</v>
      </c>
      <c r="G838" s="9">
        <v>82.56</v>
      </c>
      <c r="H838" s="9">
        <v>3.7832159999999999</v>
      </c>
      <c r="I838" s="9">
        <v>4</v>
      </c>
      <c r="J838" s="9">
        <v>2.78</v>
      </c>
      <c r="K838" s="62" t="s">
        <v>44</v>
      </c>
      <c r="L838" s="63" t="str">
        <f t="shared" si="26"/>
        <v>Feb-2018</v>
      </c>
      <c r="M838" s="29">
        <f t="shared" si="27"/>
        <v>43132</v>
      </c>
    </row>
    <row r="839" spans="1:13" ht="21" x14ac:dyDescent="0.35">
      <c r="A839" s="8">
        <v>2018</v>
      </c>
      <c r="B839" s="9">
        <v>2</v>
      </c>
      <c r="C839" s="17" t="s">
        <v>118</v>
      </c>
      <c r="D839" s="64" t="s">
        <v>65</v>
      </c>
      <c r="E839" s="9">
        <v>9786.6300229999997</v>
      </c>
      <c r="F839" s="9">
        <v>102</v>
      </c>
      <c r="G839" s="9">
        <v>95.95</v>
      </c>
      <c r="H839" s="9">
        <v>4.0686270000000002</v>
      </c>
      <c r="I839" s="9">
        <v>0</v>
      </c>
      <c r="J839" s="9">
        <v>0</v>
      </c>
      <c r="K839" s="62" t="s">
        <v>44</v>
      </c>
      <c r="L839" s="63" t="str">
        <f t="shared" si="26"/>
        <v>Feb-2018</v>
      </c>
      <c r="M839" s="29">
        <f t="shared" si="27"/>
        <v>43132</v>
      </c>
    </row>
    <row r="840" spans="1:13" ht="21" x14ac:dyDescent="0.35">
      <c r="A840" s="8">
        <v>2018</v>
      </c>
      <c r="B840" s="9">
        <v>2</v>
      </c>
      <c r="C840" s="17" t="s">
        <v>120</v>
      </c>
      <c r="D840" s="64" t="s">
        <v>64</v>
      </c>
      <c r="E840" s="9">
        <v>9595.0299840000007</v>
      </c>
      <c r="F840" s="9">
        <v>89</v>
      </c>
      <c r="G840" s="9">
        <v>107.81</v>
      </c>
      <c r="H840" s="9">
        <v>4.0113630000000002</v>
      </c>
      <c r="I840" s="9">
        <v>1</v>
      </c>
      <c r="J840" s="9">
        <v>1.1200000000000001</v>
      </c>
      <c r="K840" s="62" t="s">
        <v>44</v>
      </c>
      <c r="L840" s="63" t="str">
        <f t="shared" si="26"/>
        <v>Feb-2018</v>
      </c>
      <c r="M840" s="29">
        <f t="shared" si="27"/>
        <v>43132</v>
      </c>
    </row>
    <row r="841" spans="1:13" ht="21" x14ac:dyDescent="0.35">
      <c r="A841" s="8">
        <v>2018</v>
      </c>
      <c r="B841" s="9">
        <v>2</v>
      </c>
      <c r="C841" s="17" t="s">
        <v>124</v>
      </c>
      <c r="D841" s="64" t="s">
        <v>84</v>
      </c>
      <c r="E841" s="9">
        <v>9015.7299590000002</v>
      </c>
      <c r="F841" s="9">
        <v>39</v>
      </c>
      <c r="G841" s="9">
        <v>231.17</v>
      </c>
      <c r="H841" s="9">
        <v>4.0769229999999999</v>
      </c>
      <c r="I841" s="9">
        <v>0</v>
      </c>
      <c r="J841" s="9">
        <v>0</v>
      </c>
      <c r="K841" s="62" t="s">
        <v>44</v>
      </c>
      <c r="L841" s="63" t="str">
        <f t="shared" si="26"/>
        <v>Feb-2018</v>
      </c>
      <c r="M841" s="29">
        <f t="shared" si="27"/>
        <v>43132</v>
      </c>
    </row>
    <row r="842" spans="1:13" ht="21" x14ac:dyDescent="0.35">
      <c r="A842" s="8">
        <v>2018</v>
      </c>
      <c r="B842" s="9">
        <v>2</v>
      </c>
      <c r="C842" s="17" t="s">
        <v>42</v>
      </c>
      <c r="D842" s="64" t="s">
        <v>85</v>
      </c>
      <c r="E842" s="9">
        <v>9003.9700150000008</v>
      </c>
      <c r="F842" s="9">
        <v>54</v>
      </c>
      <c r="G842" s="9">
        <v>166.74</v>
      </c>
      <c r="H842" s="9">
        <v>3.7592590000000001</v>
      </c>
      <c r="I842" s="9">
        <v>1</v>
      </c>
      <c r="J842" s="9">
        <v>1.85</v>
      </c>
      <c r="K842" s="62" t="s">
        <v>44</v>
      </c>
      <c r="L842" s="63" t="str">
        <f t="shared" si="26"/>
        <v>Feb-2018</v>
      </c>
      <c r="M842" s="29">
        <f t="shared" si="27"/>
        <v>43132</v>
      </c>
    </row>
    <row r="843" spans="1:13" ht="21" x14ac:dyDescent="0.35">
      <c r="A843" s="8">
        <v>2018</v>
      </c>
      <c r="B843" s="9">
        <v>2</v>
      </c>
      <c r="C843" s="17" t="s">
        <v>47</v>
      </c>
      <c r="D843" s="64" t="s">
        <v>79</v>
      </c>
      <c r="E843" s="9">
        <v>8998.8299979999993</v>
      </c>
      <c r="F843" s="9">
        <v>21</v>
      </c>
      <c r="G843" s="9">
        <v>428.52</v>
      </c>
      <c r="H843" s="9">
        <v>3.9047610000000001</v>
      </c>
      <c r="I843" s="9">
        <v>0</v>
      </c>
      <c r="J843" s="9">
        <v>0</v>
      </c>
      <c r="K843" s="62" t="s">
        <v>44</v>
      </c>
      <c r="L843" s="63" t="str">
        <f t="shared" si="26"/>
        <v>Feb-2018</v>
      </c>
      <c r="M843" s="29">
        <f t="shared" si="27"/>
        <v>43132</v>
      </c>
    </row>
    <row r="844" spans="1:13" ht="21" x14ac:dyDescent="0.35">
      <c r="A844" s="8">
        <v>2018</v>
      </c>
      <c r="B844" s="9">
        <v>2</v>
      </c>
      <c r="C844" s="17" t="s">
        <v>125</v>
      </c>
      <c r="D844" s="64" t="s">
        <v>91</v>
      </c>
      <c r="E844" s="9">
        <v>7404.7999879999998</v>
      </c>
      <c r="F844" s="9">
        <v>21</v>
      </c>
      <c r="G844" s="9">
        <v>352.61</v>
      </c>
      <c r="H844" s="9">
        <v>3.9523799999999998</v>
      </c>
      <c r="I844" s="9">
        <v>0</v>
      </c>
      <c r="J844" s="9">
        <v>0</v>
      </c>
      <c r="K844" s="62" t="s">
        <v>44</v>
      </c>
      <c r="L844" s="63" t="str">
        <f t="shared" si="26"/>
        <v>Feb-2018</v>
      </c>
      <c r="M844" s="29">
        <f t="shared" si="27"/>
        <v>43132</v>
      </c>
    </row>
    <row r="845" spans="1:13" ht="21" x14ac:dyDescent="0.35">
      <c r="A845" s="8">
        <v>2018</v>
      </c>
      <c r="B845" s="9">
        <v>2</v>
      </c>
      <c r="C845" s="17" t="s">
        <v>76</v>
      </c>
      <c r="D845" s="64" t="s">
        <v>83</v>
      </c>
      <c r="E845" s="9">
        <v>6604.3500119999999</v>
      </c>
      <c r="F845" s="9">
        <v>45</v>
      </c>
      <c r="G845" s="9">
        <v>146.76</v>
      </c>
      <c r="H845" s="9">
        <v>3.5227270000000002</v>
      </c>
      <c r="I845" s="9">
        <v>2</v>
      </c>
      <c r="J845" s="9">
        <v>4.4400000000000004</v>
      </c>
      <c r="K845" s="62" t="s">
        <v>44</v>
      </c>
      <c r="L845" s="63" t="str">
        <f t="shared" si="26"/>
        <v>Feb-2018</v>
      </c>
      <c r="M845" s="29">
        <f t="shared" si="27"/>
        <v>43132</v>
      </c>
    </row>
    <row r="846" spans="1:13" ht="21" x14ac:dyDescent="0.35">
      <c r="A846" s="8">
        <v>2018</v>
      </c>
      <c r="B846" s="9">
        <v>2</v>
      </c>
      <c r="C846" s="17" t="s">
        <v>77</v>
      </c>
      <c r="D846" s="64" t="s">
        <v>63</v>
      </c>
      <c r="E846" s="9">
        <v>6138.669981</v>
      </c>
      <c r="F846" s="9">
        <v>10</v>
      </c>
      <c r="G846" s="9">
        <v>613.87</v>
      </c>
      <c r="H846" s="9">
        <v>2.6</v>
      </c>
      <c r="I846" s="9">
        <v>1</v>
      </c>
      <c r="J846" s="9">
        <v>10</v>
      </c>
      <c r="K846" s="62" t="s">
        <v>44</v>
      </c>
      <c r="L846" s="63" t="str">
        <f t="shared" si="26"/>
        <v>Feb-2018</v>
      </c>
      <c r="M846" s="29">
        <f t="shared" si="27"/>
        <v>43132</v>
      </c>
    </row>
    <row r="847" spans="1:13" ht="21" x14ac:dyDescent="0.35">
      <c r="A847" s="8">
        <v>2018</v>
      </c>
      <c r="B847" s="9">
        <v>2</v>
      </c>
      <c r="C847" s="17" t="s">
        <v>94</v>
      </c>
      <c r="D847" s="64" t="s">
        <v>100</v>
      </c>
      <c r="E847" s="9">
        <v>5965.7498530000003</v>
      </c>
      <c r="F847" s="9">
        <v>7</v>
      </c>
      <c r="G847" s="9">
        <v>852.25</v>
      </c>
      <c r="H847" s="9">
        <v>4.571428</v>
      </c>
      <c r="I847" s="9">
        <v>0</v>
      </c>
      <c r="J847" s="9">
        <v>0</v>
      </c>
      <c r="K847" s="62" t="s">
        <v>44</v>
      </c>
      <c r="L847" s="63" t="str">
        <f t="shared" si="26"/>
        <v>Feb-2018</v>
      </c>
      <c r="M847" s="29">
        <f t="shared" si="27"/>
        <v>43132</v>
      </c>
    </row>
    <row r="848" spans="1:13" ht="21" x14ac:dyDescent="0.35">
      <c r="A848" s="8">
        <v>2018</v>
      </c>
      <c r="B848" s="9">
        <v>2</v>
      </c>
      <c r="C848" s="17" t="s">
        <v>103</v>
      </c>
      <c r="D848" s="64" t="s">
        <v>96</v>
      </c>
      <c r="E848" s="9">
        <v>5583.7400129999996</v>
      </c>
      <c r="F848" s="9">
        <v>48</v>
      </c>
      <c r="G848" s="9">
        <v>116.33</v>
      </c>
      <c r="H848" s="9">
        <v>4.2152770000000004</v>
      </c>
      <c r="I848" s="9">
        <v>1</v>
      </c>
      <c r="J848" s="9">
        <v>2.08</v>
      </c>
      <c r="K848" s="62" t="s">
        <v>44</v>
      </c>
      <c r="L848" s="63" t="str">
        <f t="shared" si="26"/>
        <v>Feb-2018</v>
      </c>
      <c r="M848" s="29">
        <f t="shared" si="27"/>
        <v>43132</v>
      </c>
    </row>
    <row r="849" spans="1:13" ht="21" x14ac:dyDescent="0.35">
      <c r="A849" s="8">
        <v>2018</v>
      </c>
      <c r="B849" s="9">
        <v>2</v>
      </c>
      <c r="C849" s="17" t="s">
        <v>109</v>
      </c>
      <c r="D849" s="64" t="s">
        <v>97</v>
      </c>
      <c r="E849" s="9">
        <v>5303.9000230000001</v>
      </c>
      <c r="F849" s="9">
        <v>32</v>
      </c>
      <c r="G849" s="9">
        <v>165.75</v>
      </c>
      <c r="H849" s="9">
        <v>3.9032249999999999</v>
      </c>
      <c r="I849" s="9">
        <v>1</v>
      </c>
      <c r="J849" s="9">
        <v>3.13</v>
      </c>
      <c r="K849" s="62" t="s">
        <v>44</v>
      </c>
      <c r="L849" s="63" t="str">
        <f t="shared" si="26"/>
        <v>Feb-2018</v>
      </c>
      <c r="M849" s="29">
        <f t="shared" si="27"/>
        <v>43132</v>
      </c>
    </row>
    <row r="850" spans="1:13" ht="21" x14ac:dyDescent="0.35">
      <c r="A850" s="8">
        <v>2018</v>
      </c>
      <c r="B850" s="9">
        <v>2</v>
      </c>
      <c r="C850" s="17" t="s">
        <v>115</v>
      </c>
      <c r="D850" s="64" t="s">
        <v>80</v>
      </c>
      <c r="E850" s="9">
        <v>5245.1600550000003</v>
      </c>
      <c r="F850" s="9">
        <v>30</v>
      </c>
      <c r="G850" s="9">
        <v>174.84</v>
      </c>
      <c r="H850" s="9">
        <v>4.1666660000000002</v>
      </c>
      <c r="I850" s="9">
        <v>0</v>
      </c>
      <c r="J850" s="9">
        <v>0</v>
      </c>
      <c r="K850" s="62" t="s">
        <v>44</v>
      </c>
      <c r="L850" s="63" t="str">
        <f t="shared" si="26"/>
        <v>Feb-2018</v>
      </c>
      <c r="M850" s="29">
        <f t="shared" si="27"/>
        <v>43132</v>
      </c>
    </row>
    <row r="851" spans="1:13" ht="21" x14ac:dyDescent="0.35">
      <c r="A851" s="8">
        <v>2018</v>
      </c>
      <c r="B851" s="9">
        <v>2</v>
      </c>
      <c r="C851" s="17" t="s">
        <v>118</v>
      </c>
      <c r="D851" s="64" t="s">
        <v>88</v>
      </c>
      <c r="E851" s="9">
        <v>4750.1600109999999</v>
      </c>
      <c r="F851" s="9">
        <v>17</v>
      </c>
      <c r="G851" s="9">
        <v>279.42</v>
      </c>
      <c r="H851" s="9">
        <v>4</v>
      </c>
      <c r="I851" s="9">
        <v>1</v>
      </c>
      <c r="J851" s="9">
        <v>5.88</v>
      </c>
      <c r="K851" s="62" t="s">
        <v>44</v>
      </c>
      <c r="L851" s="63" t="str">
        <f t="shared" si="26"/>
        <v>Feb-2018</v>
      </c>
      <c r="M851" s="29">
        <f t="shared" si="27"/>
        <v>43132</v>
      </c>
    </row>
    <row r="852" spans="1:13" ht="21" x14ac:dyDescent="0.35">
      <c r="A852" s="8">
        <v>2018</v>
      </c>
      <c r="B852" s="9">
        <v>2</v>
      </c>
      <c r="C852" s="17" t="s">
        <v>120</v>
      </c>
      <c r="D852" s="64" t="s">
        <v>67</v>
      </c>
      <c r="E852" s="9">
        <v>4735.5900190000002</v>
      </c>
      <c r="F852" s="9">
        <v>29</v>
      </c>
      <c r="G852" s="9">
        <v>163.30000000000001</v>
      </c>
      <c r="H852" s="9">
        <v>4.1428570000000002</v>
      </c>
      <c r="I852" s="9">
        <v>0</v>
      </c>
      <c r="J852" s="9">
        <v>0</v>
      </c>
      <c r="K852" s="62" t="s">
        <v>44</v>
      </c>
      <c r="L852" s="63" t="str">
        <f t="shared" si="26"/>
        <v>Feb-2018</v>
      </c>
      <c r="M852" s="29">
        <f t="shared" si="27"/>
        <v>43132</v>
      </c>
    </row>
    <row r="853" spans="1:13" ht="21" x14ac:dyDescent="0.35">
      <c r="A853" s="8">
        <v>2018</v>
      </c>
      <c r="B853" s="9">
        <v>2</v>
      </c>
      <c r="C853" s="17" t="s">
        <v>124</v>
      </c>
      <c r="D853" s="64" t="s">
        <v>82</v>
      </c>
      <c r="E853" s="9">
        <v>4402.7800180000004</v>
      </c>
      <c r="F853" s="9">
        <v>19</v>
      </c>
      <c r="G853" s="9">
        <v>231.73</v>
      </c>
      <c r="H853" s="9">
        <v>3.7368420000000002</v>
      </c>
      <c r="I853" s="9">
        <v>0</v>
      </c>
      <c r="J853" s="9">
        <v>0</v>
      </c>
      <c r="K853" s="62" t="s">
        <v>44</v>
      </c>
      <c r="L853" s="63" t="str">
        <f t="shared" si="26"/>
        <v>Feb-2018</v>
      </c>
      <c r="M853" s="29">
        <f t="shared" si="27"/>
        <v>43132</v>
      </c>
    </row>
    <row r="854" spans="1:13" ht="21" x14ac:dyDescent="0.35">
      <c r="A854" s="8">
        <v>2018</v>
      </c>
      <c r="B854" s="9">
        <v>2</v>
      </c>
      <c r="C854" s="17" t="s">
        <v>42</v>
      </c>
      <c r="D854" s="64" t="s">
        <v>119</v>
      </c>
      <c r="E854" s="9">
        <v>3024.9</v>
      </c>
      <c r="F854" s="9">
        <v>5</v>
      </c>
      <c r="G854" s="9">
        <v>604.98</v>
      </c>
      <c r="H854" s="9">
        <v>3.6</v>
      </c>
      <c r="I854" s="9">
        <v>0</v>
      </c>
      <c r="J854" s="9">
        <v>0</v>
      </c>
      <c r="K854" s="62" t="s">
        <v>44</v>
      </c>
      <c r="L854" s="63" t="str">
        <f t="shared" si="26"/>
        <v>Feb-2018</v>
      </c>
      <c r="M854" s="29">
        <f t="shared" si="27"/>
        <v>43132</v>
      </c>
    </row>
    <row r="855" spans="1:13" ht="21" x14ac:dyDescent="0.35">
      <c r="A855" s="8">
        <v>2018</v>
      </c>
      <c r="B855" s="9">
        <v>2</v>
      </c>
      <c r="C855" s="17" t="s">
        <v>47</v>
      </c>
      <c r="D855" s="64" t="s">
        <v>99</v>
      </c>
      <c r="E855" s="9">
        <v>3012.7600400000001</v>
      </c>
      <c r="F855" s="9">
        <v>20</v>
      </c>
      <c r="G855" s="9">
        <v>150.63999999999999</v>
      </c>
      <c r="H855" s="9">
        <v>3.9</v>
      </c>
      <c r="I855" s="9">
        <v>0</v>
      </c>
      <c r="J855" s="9">
        <v>0</v>
      </c>
      <c r="K855" s="62" t="s">
        <v>44</v>
      </c>
      <c r="L855" s="63" t="str">
        <f t="shared" si="26"/>
        <v>Feb-2018</v>
      </c>
      <c r="M855" s="29">
        <f t="shared" si="27"/>
        <v>43132</v>
      </c>
    </row>
    <row r="856" spans="1:13" ht="21" x14ac:dyDescent="0.35">
      <c r="A856" s="8">
        <v>2018</v>
      </c>
      <c r="B856" s="9">
        <v>2</v>
      </c>
      <c r="C856" s="17" t="s">
        <v>125</v>
      </c>
      <c r="D856" s="64" t="s">
        <v>69</v>
      </c>
      <c r="E856" s="9">
        <v>2828.4899879999998</v>
      </c>
      <c r="F856" s="9">
        <v>15</v>
      </c>
      <c r="G856" s="9">
        <v>188.57</v>
      </c>
      <c r="H856" s="9">
        <v>3.2666659999999998</v>
      </c>
      <c r="I856" s="9">
        <v>0</v>
      </c>
      <c r="J856" s="9">
        <v>0</v>
      </c>
      <c r="K856" s="62" t="s">
        <v>44</v>
      </c>
      <c r="L856" s="63" t="str">
        <f t="shared" si="26"/>
        <v>Feb-2018</v>
      </c>
      <c r="M856" s="29">
        <f t="shared" si="27"/>
        <v>43132</v>
      </c>
    </row>
    <row r="857" spans="1:13" ht="21" x14ac:dyDescent="0.35">
      <c r="A857" s="8">
        <v>2018</v>
      </c>
      <c r="B857" s="9">
        <v>2</v>
      </c>
      <c r="C857" s="17" t="s">
        <v>76</v>
      </c>
      <c r="D857" s="64" t="s">
        <v>54</v>
      </c>
      <c r="E857" s="9">
        <v>2626.8900130000002</v>
      </c>
      <c r="F857" s="9">
        <v>11</v>
      </c>
      <c r="G857" s="9">
        <v>238.81</v>
      </c>
      <c r="H857" s="9">
        <v>4.2727269999999997</v>
      </c>
      <c r="I857" s="9">
        <v>0</v>
      </c>
      <c r="J857" s="9">
        <v>0</v>
      </c>
      <c r="K857" s="62" t="s">
        <v>44</v>
      </c>
      <c r="L857" s="63" t="str">
        <f t="shared" si="26"/>
        <v>Feb-2018</v>
      </c>
      <c r="M857" s="29">
        <f t="shared" si="27"/>
        <v>43132</v>
      </c>
    </row>
    <row r="858" spans="1:13" ht="21" x14ac:dyDescent="0.35">
      <c r="A858" s="8">
        <v>2018</v>
      </c>
      <c r="B858" s="9">
        <v>2</v>
      </c>
      <c r="C858" s="17" t="s">
        <v>77</v>
      </c>
      <c r="D858" s="64" t="s">
        <v>113</v>
      </c>
      <c r="E858" s="9">
        <v>2059.650024</v>
      </c>
      <c r="F858" s="9">
        <v>17</v>
      </c>
      <c r="G858" s="9">
        <v>121.16</v>
      </c>
      <c r="H858" s="9">
        <v>3.875</v>
      </c>
      <c r="I858" s="9">
        <v>0</v>
      </c>
      <c r="J858" s="9">
        <v>0</v>
      </c>
      <c r="K858" s="62" t="s">
        <v>44</v>
      </c>
      <c r="L858" s="63" t="str">
        <f t="shared" si="26"/>
        <v>Feb-2018</v>
      </c>
      <c r="M858" s="29">
        <f t="shared" si="27"/>
        <v>43132</v>
      </c>
    </row>
    <row r="859" spans="1:13" ht="21" x14ac:dyDescent="0.35">
      <c r="A859" s="8">
        <v>2018</v>
      </c>
      <c r="B859" s="9">
        <v>2</v>
      </c>
      <c r="C859" s="17" t="s">
        <v>94</v>
      </c>
      <c r="D859" s="64" t="s">
        <v>104</v>
      </c>
      <c r="E859" s="9">
        <v>1967.4400390000001</v>
      </c>
      <c r="F859" s="9">
        <v>27</v>
      </c>
      <c r="G859" s="9">
        <v>72.87</v>
      </c>
      <c r="H859" s="9">
        <v>4.1481479999999999</v>
      </c>
      <c r="I859" s="9">
        <v>0</v>
      </c>
      <c r="J859" s="9">
        <v>0</v>
      </c>
      <c r="K859" s="62" t="s">
        <v>44</v>
      </c>
      <c r="L859" s="63" t="str">
        <f t="shared" si="26"/>
        <v>Feb-2018</v>
      </c>
      <c r="M859" s="29">
        <f t="shared" si="27"/>
        <v>43132</v>
      </c>
    </row>
    <row r="860" spans="1:13" ht="21" x14ac:dyDescent="0.35">
      <c r="A860" s="8">
        <v>2018</v>
      </c>
      <c r="B860" s="9">
        <v>2</v>
      </c>
      <c r="C860" s="17" t="s">
        <v>103</v>
      </c>
      <c r="D860" s="64" t="s">
        <v>72</v>
      </c>
      <c r="E860" s="9">
        <v>1933.4200040000001</v>
      </c>
      <c r="F860" s="9">
        <v>31</v>
      </c>
      <c r="G860" s="9">
        <v>62.37</v>
      </c>
      <c r="H860" s="9">
        <v>3.9354830000000001</v>
      </c>
      <c r="I860" s="9">
        <v>1</v>
      </c>
      <c r="J860" s="9">
        <v>3.23</v>
      </c>
      <c r="K860" s="62" t="s">
        <v>44</v>
      </c>
      <c r="L860" s="63" t="str">
        <f t="shared" si="26"/>
        <v>Feb-2018</v>
      </c>
      <c r="M860" s="29">
        <f t="shared" si="27"/>
        <v>43132</v>
      </c>
    </row>
    <row r="861" spans="1:13" ht="21" x14ac:dyDescent="0.35">
      <c r="A861" s="8">
        <v>2018</v>
      </c>
      <c r="B861" s="9">
        <v>2</v>
      </c>
      <c r="C861" s="17" t="s">
        <v>109</v>
      </c>
      <c r="D861" s="64" t="s">
        <v>59</v>
      </c>
      <c r="E861" s="9">
        <v>1920.9200129999999</v>
      </c>
      <c r="F861" s="9">
        <v>20</v>
      </c>
      <c r="G861" s="9">
        <v>96.05</v>
      </c>
      <c r="H861" s="9">
        <v>4.0999999999999996</v>
      </c>
      <c r="I861" s="9">
        <v>0</v>
      </c>
      <c r="J861" s="9">
        <v>0</v>
      </c>
      <c r="K861" s="62" t="s">
        <v>44</v>
      </c>
      <c r="L861" s="63" t="str">
        <f t="shared" si="26"/>
        <v>Feb-2018</v>
      </c>
      <c r="M861" s="29">
        <f t="shared" si="27"/>
        <v>43132</v>
      </c>
    </row>
    <row r="862" spans="1:13" ht="21" x14ac:dyDescent="0.35">
      <c r="A862" s="8">
        <v>2018</v>
      </c>
      <c r="B862" s="9">
        <v>2</v>
      </c>
      <c r="C862" s="17" t="s">
        <v>115</v>
      </c>
      <c r="D862" s="64" t="s">
        <v>71</v>
      </c>
      <c r="E862" s="9">
        <v>1912.650009</v>
      </c>
      <c r="F862" s="9">
        <v>29</v>
      </c>
      <c r="G862" s="9">
        <v>65.95</v>
      </c>
      <c r="H862" s="9">
        <v>4.3793100000000003</v>
      </c>
      <c r="I862" s="9">
        <v>1</v>
      </c>
      <c r="J862" s="9">
        <v>3.45</v>
      </c>
      <c r="K862" s="62" t="s">
        <v>44</v>
      </c>
      <c r="L862" s="63" t="str">
        <f t="shared" si="26"/>
        <v>Feb-2018</v>
      </c>
      <c r="M862" s="29">
        <f t="shared" si="27"/>
        <v>43132</v>
      </c>
    </row>
    <row r="863" spans="1:13" ht="21" x14ac:dyDescent="0.35">
      <c r="A863" s="8">
        <v>2018</v>
      </c>
      <c r="B863" s="9">
        <v>2</v>
      </c>
      <c r="C863" s="17" t="s">
        <v>118</v>
      </c>
      <c r="D863" s="64" t="s">
        <v>121</v>
      </c>
      <c r="E863" s="9">
        <v>1610.8000050000001</v>
      </c>
      <c r="F863" s="9">
        <v>9</v>
      </c>
      <c r="G863" s="9">
        <v>178.98</v>
      </c>
      <c r="H863" s="9">
        <v>3.555555</v>
      </c>
      <c r="I863" s="9">
        <v>0</v>
      </c>
      <c r="J863" s="9">
        <v>0</v>
      </c>
      <c r="K863" s="62" t="s">
        <v>44</v>
      </c>
      <c r="L863" s="63" t="str">
        <f t="shared" si="26"/>
        <v>Feb-2018</v>
      </c>
      <c r="M863" s="29">
        <f t="shared" si="27"/>
        <v>43132</v>
      </c>
    </row>
    <row r="864" spans="1:13" ht="21" x14ac:dyDescent="0.35">
      <c r="A864" s="8">
        <v>2018</v>
      </c>
      <c r="B864" s="9">
        <v>2</v>
      </c>
      <c r="C864" s="17" t="s">
        <v>120</v>
      </c>
      <c r="D864" s="64" t="s">
        <v>98</v>
      </c>
      <c r="E864" s="9">
        <v>1538.2499789999999</v>
      </c>
      <c r="F864" s="9">
        <v>14</v>
      </c>
      <c r="G864" s="9">
        <v>109.87</v>
      </c>
      <c r="H864" s="9">
        <v>4.3571419999999996</v>
      </c>
      <c r="I864" s="9">
        <v>0</v>
      </c>
      <c r="J864" s="9">
        <v>0</v>
      </c>
      <c r="K864" s="62" t="s">
        <v>44</v>
      </c>
      <c r="L864" s="63" t="str">
        <f t="shared" si="26"/>
        <v>Feb-2018</v>
      </c>
      <c r="M864" s="29">
        <f t="shared" si="27"/>
        <v>43132</v>
      </c>
    </row>
    <row r="865" spans="1:13" ht="21" x14ac:dyDescent="0.35">
      <c r="A865" s="8">
        <v>2018</v>
      </c>
      <c r="B865" s="9">
        <v>2</v>
      </c>
      <c r="C865" s="17" t="s">
        <v>124</v>
      </c>
      <c r="D865" s="64" t="s">
        <v>68</v>
      </c>
      <c r="E865" s="9">
        <v>1411.2100109999999</v>
      </c>
      <c r="F865" s="9">
        <v>23</v>
      </c>
      <c r="G865" s="9">
        <v>61.36</v>
      </c>
      <c r="H865" s="9">
        <v>4.0869559999999998</v>
      </c>
      <c r="I865" s="9">
        <v>0</v>
      </c>
      <c r="J865" s="9">
        <v>0</v>
      </c>
      <c r="K865" s="62" t="s">
        <v>44</v>
      </c>
      <c r="L865" s="63" t="str">
        <f t="shared" si="26"/>
        <v>Feb-2018</v>
      </c>
      <c r="M865" s="29">
        <f t="shared" si="27"/>
        <v>43132</v>
      </c>
    </row>
    <row r="866" spans="1:13" ht="21" x14ac:dyDescent="0.35">
      <c r="A866" s="8">
        <v>2018</v>
      </c>
      <c r="B866" s="9">
        <v>2</v>
      </c>
      <c r="C866" s="17" t="s">
        <v>42</v>
      </c>
      <c r="D866" s="64" t="s">
        <v>110</v>
      </c>
      <c r="E866" s="9">
        <v>1318.199991</v>
      </c>
      <c r="F866" s="9">
        <v>11</v>
      </c>
      <c r="G866" s="9">
        <v>119.84</v>
      </c>
      <c r="H866" s="9">
        <v>4.4000000000000004</v>
      </c>
      <c r="I866" s="9">
        <v>0</v>
      </c>
      <c r="J866" s="9">
        <v>0</v>
      </c>
      <c r="K866" s="62" t="s">
        <v>44</v>
      </c>
      <c r="L866" s="63" t="str">
        <f t="shared" si="26"/>
        <v>Feb-2018</v>
      </c>
      <c r="M866" s="29">
        <f t="shared" si="27"/>
        <v>43132</v>
      </c>
    </row>
    <row r="867" spans="1:13" ht="21" x14ac:dyDescent="0.35">
      <c r="A867" s="8">
        <v>2018</v>
      </c>
      <c r="B867" s="9">
        <v>2</v>
      </c>
      <c r="C867" s="17" t="s">
        <v>47</v>
      </c>
      <c r="D867" s="64" t="s">
        <v>105</v>
      </c>
      <c r="E867" s="9">
        <v>1251.7099840000001</v>
      </c>
      <c r="F867" s="9">
        <v>12</v>
      </c>
      <c r="G867" s="9">
        <v>104.31</v>
      </c>
      <c r="H867" s="9">
        <v>3.6666660000000002</v>
      </c>
      <c r="I867" s="9">
        <v>1</v>
      </c>
      <c r="J867" s="9">
        <v>8.33</v>
      </c>
      <c r="K867" s="62" t="s">
        <v>44</v>
      </c>
      <c r="L867" s="63" t="str">
        <f t="shared" si="26"/>
        <v>Feb-2018</v>
      </c>
      <c r="M867" s="29">
        <f t="shared" si="27"/>
        <v>43132</v>
      </c>
    </row>
    <row r="868" spans="1:13" ht="21" x14ac:dyDescent="0.35">
      <c r="A868" s="8">
        <v>2018</v>
      </c>
      <c r="B868" s="9">
        <v>2</v>
      </c>
      <c r="C868" s="17" t="s">
        <v>125</v>
      </c>
      <c r="D868" s="64" t="s">
        <v>89</v>
      </c>
      <c r="E868" s="9">
        <v>1094.7999950000001</v>
      </c>
      <c r="F868" s="9">
        <v>7</v>
      </c>
      <c r="G868" s="9">
        <v>156.4</v>
      </c>
      <c r="H868" s="9">
        <v>4.2857139999999996</v>
      </c>
      <c r="I868" s="9">
        <v>0</v>
      </c>
      <c r="J868" s="9">
        <v>0</v>
      </c>
      <c r="K868" s="62" t="s">
        <v>44</v>
      </c>
      <c r="L868" s="63" t="str">
        <f t="shared" si="26"/>
        <v>Feb-2018</v>
      </c>
      <c r="M868" s="29">
        <f t="shared" si="27"/>
        <v>43132</v>
      </c>
    </row>
    <row r="869" spans="1:13" ht="21" x14ac:dyDescent="0.35">
      <c r="A869" s="8">
        <v>2018</v>
      </c>
      <c r="B869" s="9">
        <v>2</v>
      </c>
      <c r="C869" s="17" t="s">
        <v>76</v>
      </c>
      <c r="D869" s="64" t="s">
        <v>106</v>
      </c>
      <c r="E869" s="9">
        <v>1059.1000019999999</v>
      </c>
      <c r="F869" s="9">
        <v>21</v>
      </c>
      <c r="G869" s="9">
        <v>50.43</v>
      </c>
      <c r="H869" s="9">
        <v>4.0476190000000001</v>
      </c>
      <c r="I869" s="9">
        <v>0</v>
      </c>
      <c r="J869" s="9">
        <v>0</v>
      </c>
      <c r="K869" s="62" t="s">
        <v>44</v>
      </c>
      <c r="L869" s="63" t="str">
        <f t="shared" si="26"/>
        <v>Feb-2018</v>
      </c>
      <c r="M869" s="29">
        <f t="shared" si="27"/>
        <v>43132</v>
      </c>
    </row>
    <row r="870" spans="1:13" ht="21" x14ac:dyDescent="0.35">
      <c r="A870" s="8">
        <v>2018</v>
      </c>
      <c r="B870" s="9">
        <v>2</v>
      </c>
      <c r="C870" s="17" t="s">
        <v>77</v>
      </c>
      <c r="D870" s="64" t="s">
        <v>74</v>
      </c>
      <c r="E870" s="9">
        <v>1033.6999860000001</v>
      </c>
      <c r="F870" s="9">
        <v>10</v>
      </c>
      <c r="G870" s="9">
        <v>103.37</v>
      </c>
      <c r="H870" s="9">
        <v>3.8</v>
      </c>
      <c r="I870" s="9">
        <v>0</v>
      </c>
      <c r="J870" s="9">
        <v>0</v>
      </c>
      <c r="K870" s="62" t="s">
        <v>44</v>
      </c>
      <c r="L870" s="63" t="str">
        <f t="shared" si="26"/>
        <v>Feb-2018</v>
      </c>
      <c r="M870" s="29">
        <f t="shared" si="27"/>
        <v>43132</v>
      </c>
    </row>
    <row r="871" spans="1:13" ht="21" x14ac:dyDescent="0.35">
      <c r="A871" s="8">
        <v>2018</v>
      </c>
      <c r="B871" s="9">
        <v>2</v>
      </c>
      <c r="C871" s="17" t="s">
        <v>94</v>
      </c>
      <c r="D871" s="64" t="s">
        <v>107</v>
      </c>
      <c r="E871" s="9">
        <v>715.7900009</v>
      </c>
      <c r="F871" s="9">
        <v>10</v>
      </c>
      <c r="G871" s="9">
        <v>71.58</v>
      </c>
      <c r="H871" s="9">
        <v>4</v>
      </c>
      <c r="I871" s="9">
        <v>0</v>
      </c>
      <c r="J871" s="9">
        <v>0</v>
      </c>
      <c r="K871" s="62" t="s">
        <v>44</v>
      </c>
      <c r="L871" s="63" t="str">
        <f t="shared" si="26"/>
        <v>Feb-2018</v>
      </c>
      <c r="M871" s="29">
        <f t="shared" si="27"/>
        <v>43132</v>
      </c>
    </row>
    <row r="872" spans="1:13" ht="21" x14ac:dyDescent="0.35">
      <c r="A872" s="8">
        <v>2018</v>
      </c>
      <c r="B872" s="9">
        <v>2</v>
      </c>
      <c r="C872" s="17" t="s">
        <v>103</v>
      </c>
      <c r="D872" s="64" t="s">
        <v>95</v>
      </c>
      <c r="E872" s="9">
        <v>694.97001269999998</v>
      </c>
      <c r="F872" s="9">
        <v>12</v>
      </c>
      <c r="G872" s="9">
        <v>57.91</v>
      </c>
      <c r="H872" s="9">
        <v>3.75</v>
      </c>
      <c r="I872" s="9">
        <v>0</v>
      </c>
      <c r="J872" s="9">
        <v>0</v>
      </c>
      <c r="K872" s="62" t="s">
        <v>44</v>
      </c>
      <c r="L872" s="63" t="str">
        <f t="shared" si="26"/>
        <v>Feb-2018</v>
      </c>
      <c r="M872" s="29">
        <f t="shared" si="27"/>
        <v>43132</v>
      </c>
    </row>
    <row r="873" spans="1:13" ht="21" x14ac:dyDescent="0.35">
      <c r="A873" s="8">
        <v>2018</v>
      </c>
      <c r="B873" s="9">
        <v>2</v>
      </c>
      <c r="C873" s="17" t="s">
        <v>109</v>
      </c>
      <c r="D873" s="64" t="s">
        <v>87</v>
      </c>
      <c r="E873" s="9">
        <v>399.30001069999997</v>
      </c>
      <c r="F873" s="9">
        <v>7</v>
      </c>
      <c r="G873" s="9">
        <v>57.04</v>
      </c>
      <c r="H873" s="9">
        <v>2.8333330000000001</v>
      </c>
      <c r="I873" s="9">
        <v>0</v>
      </c>
      <c r="J873" s="9">
        <v>0</v>
      </c>
      <c r="K873" s="62" t="s">
        <v>44</v>
      </c>
      <c r="L873" s="63" t="str">
        <f t="shared" si="26"/>
        <v>Feb-2018</v>
      </c>
      <c r="M873" s="29">
        <f t="shared" si="27"/>
        <v>43132</v>
      </c>
    </row>
    <row r="874" spans="1:13" ht="21" x14ac:dyDescent="0.35">
      <c r="A874" s="8">
        <v>2018</v>
      </c>
      <c r="B874" s="9">
        <v>2</v>
      </c>
      <c r="C874" s="17" t="s">
        <v>115</v>
      </c>
      <c r="D874" s="64" t="s">
        <v>112</v>
      </c>
      <c r="E874" s="9">
        <v>389.40000149999997</v>
      </c>
      <c r="F874" s="9">
        <v>6</v>
      </c>
      <c r="G874" s="9">
        <v>64.900000000000006</v>
      </c>
      <c r="H874" s="9">
        <v>2.6666660000000002</v>
      </c>
      <c r="I874" s="9">
        <v>0</v>
      </c>
      <c r="J874" s="9">
        <v>0</v>
      </c>
      <c r="K874" s="62" t="s">
        <v>44</v>
      </c>
      <c r="L874" s="63" t="str">
        <f t="shared" si="26"/>
        <v>Feb-2018</v>
      </c>
      <c r="M874" s="29">
        <f t="shared" si="27"/>
        <v>43132</v>
      </c>
    </row>
    <row r="875" spans="1:13" ht="21" x14ac:dyDescent="0.35">
      <c r="A875" s="8">
        <v>2018</v>
      </c>
      <c r="B875" s="9">
        <v>2</v>
      </c>
      <c r="C875" s="17" t="s">
        <v>118</v>
      </c>
      <c r="D875" s="64" t="s">
        <v>75</v>
      </c>
      <c r="E875" s="9">
        <v>388.08999249999999</v>
      </c>
      <c r="F875" s="9">
        <v>3</v>
      </c>
      <c r="G875" s="9">
        <v>129.36000000000001</v>
      </c>
      <c r="H875" s="9">
        <v>3</v>
      </c>
      <c r="I875" s="9">
        <v>0</v>
      </c>
      <c r="J875" s="9">
        <v>0</v>
      </c>
      <c r="K875" s="62" t="s">
        <v>44</v>
      </c>
      <c r="L875" s="63" t="str">
        <f t="shared" si="26"/>
        <v>Feb-2018</v>
      </c>
      <c r="M875" s="29">
        <f t="shared" si="27"/>
        <v>43132</v>
      </c>
    </row>
    <row r="876" spans="1:13" ht="21" x14ac:dyDescent="0.35">
      <c r="A876" s="8">
        <v>2018</v>
      </c>
      <c r="B876" s="9">
        <v>2</v>
      </c>
      <c r="C876" s="17" t="s">
        <v>120</v>
      </c>
      <c r="D876" s="64" t="s">
        <v>101</v>
      </c>
      <c r="E876" s="9">
        <v>325</v>
      </c>
      <c r="F876" s="9">
        <v>3</v>
      </c>
      <c r="G876" s="9">
        <v>108.33</v>
      </c>
      <c r="H876" s="9">
        <v>4.3333329999999997</v>
      </c>
      <c r="I876" s="9">
        <v>0</v>
      </c>
      <c r="J876" s="9">
        <v>0</v>
      </c>
      <c r="K876" s="62" t="s">
        <v>44</v>
      </c>
      <c r="L876" s="63" t="str">
        <f t="shared" si="26"/>
        <v>Feb-2018</v>
      </c>
      <c r="M876" s="29">
        <f t="shared" si="27"/>
        <v>43132</v>
      </c>
    </row>
    <row r="877" spans="1:13" ht="21" x14ac:dyDescent="0.35">
      <c r="A877" s="8">
        <v>2018</v>
      </c>
      <c r="B877" s="9">
        <v>2</v>
      </c>
      <c r="C877" s="17" t="s">
        <v>124</v>
      </c>
      <c r="D877" s="64" t="s">
        <v>93</v>
      </c>
      <c r="E877" s="9">
        <v>244.96999930000001</v>
      </c>
      <c r="F877" s="9">
        <v>2</v>
      </c>
      <c r="G877" s="9">
        <v>122.48</v>
      </c>
      <c r="H877" s="9">
        <v>4</v>
      </c>
      <c r="I877" s="9">
        <v>0</v>
      </c>
      <c r="J877" s="9">
        <v>0</v>
      </c>
      <c r="K877" s="62" t="s">
        <v>44</v>
      </c>
      <c r="L877" s="63" t="str">
        <f t="shared" si="26"/>
        <v>Feb-2018</v>
      </c>
      <c r="M877" s="29">
        <f t="shared" si="27"/>
        <v>43132</v>
      </c>
    </row>
    <row r="878" spans="1:13" ht="21" x14ac:dyDescent="0.35">
      <c r="A878" s="8">
        <v>2018</v>
      </c>
      <c r="B878" s="9">
        <v>2</v>
      </c>
      <c r="C878" s="17" t="s">
        <v>42</v>
      </c>
      <c r="D878" s="64" t="s">
        <v>102</v>
      </c>
      <c r="E878" s="9">
        <v>227.98999789999999</v>
      </c>
      <c r="F878" s="9">
        <v>2</v>
      </c>
      <c r="G878" s="9">
        <v>113.99</v>
      </c>
      <c r="H878" s="9">
        <v>5</v>
      </c>
      <c r="I878" s="9">
        <v>0</v>
      </c>
      <c r="J878" s="9">
        <v>0</v>
      </c>
      <c r="K878" s="62" t="s">
        <v>44</v>
      </c>
      <c r="L878" s="63" t="str">
        <f t="shared" si="26"/>
        <v>Feb-2018</v>
      </c>
      <c r="M878" s="29">
        <f t="shared" si="27"/>
        <v>43132</v>
      </c>
    </row>
    <row r="879" spans="1:13" ht="21" x14ac:dyDescent="0.35">
      <c r="A879" s="8">
        <v>2018</v>
      </c>
      <c r="B879" s="9">
        <v>2</v>
      </c>
      <c r="C879" s="17" t="s">
        <v>47</v>
      </c>
      <c r="D879" s="64" t="s">
        <v>126</v>
      </c>
      <c r="E879" s="9">
        <v>134.48000139999999</v>
      </c>
      <c r="F879" s="9">
        <v>4</v>
      </c>
      <c r="G879" s="9">
        <v>33.619999999999997</v>
      </c>
      <c r="H879" s="9">
        <v>4.75</v>
      </c>
      <c r="I879" s="9">
        <v>0</v>
      </c>
      <c r="J879" s="9">
        <v>0</v>
      </c>
      <c r="K879" s="62" t="s">
        <v>44</v>
      </c>
      <c r="L879" s="63" t="str">
        <f t="shared" si="26"/>
        <v>Feb-2018</v>
      </c>
      <c r="M879" s="29">
        <f t="shared" si="27"/>
        <v>43132</v>
      </c>
    </row>
    <row r="880" spans="1:13" ht="21" x14ac:dyDescent="0.35">
      <c r="A880" s="8">
        <v>2018</v>
      </c>
      <c r="B880" s="9">
        <v>2</v>
      </c>
      <c r="C880" s="17" t="s">
        <v>125</v>
      </c>
      <c r="D880" s="64" t="s">
        <v>111</v>
      </c>
      <c r="E880" s="9">
        <v>129.9900055</v>
      </c>
      <c r="F880" s="9">
        <v>1</v>
      </c>
      <c r="G880" s="9">
        <v>129.99</v>
      </c>
      <c r="H880" s="9">
        <v>1</v>
      </c>
      <c r="I880" s="9">
        <v>0</v>
      </c>
      <c r="J880" s="9">
        <v>0</v>
      </c>
      <c r="K880" s="62" t="s">
        <v>44</v>
      </c>
      <c r="L880" s="63" t="str">
        <f t="shared" si="26"/>
        <v>Feb-2018</v>
      </c>
      <c r="M880" s="29">
        <f t="shared" si="27"/>
        <v>43132</v>
      </c>
    </row>
    <row r="881" spans="1:13" ht="21" x14ac:dyDescent="0.35">
      <c r="A881" s="8">
        <v>2018</v>
      </c>
      <c r="B881" s="9">
        <v>2</v>
      </c>
      <c r="C881" s="17" t="s">
        <v>76</v>
      </c>
      <c r="D881" s="64" t="s">
        <v>70</v>
      </c>
      <c r="E881" s="9">
        <v>100</v>
      </c>
      <c r="F881" s="9">
        <v>1</v>
      </c>
      <c r="G881" s="9">
        <v>100</v>
      </c>
      <c r="H881" s="9">
        <v>3</v>
      </c>
      <c r="I881" s="9">
        <v>0</v>
      </c>
      <c r="J881" s="9">
        <v>0</v>
      </c>
      <c r="K881" s="62" t="s">
        <v>44</v>
      </c>
      <c r="L881" s="63" t="str">
        <f t="shared" si="26"/>
        <v>Feb-2018</v>
      </c>
      <c r="M881" s="29">
        <f t="shared" si="27"/>
        <v>43132</v>
      </c>
    </row>
    <row r="882" spans="1:13" ht="21" x14ac:dyDescent="0.35">
      <c r="A882" s="8">
        <v>2018</v>
      </c>
      <c r="B882" s="9">
        <v>2</v>
      </c>
      <c r="C882" s="17" t="s">
        <v>77</v>
      </c>
      <c r="D882" s="64" t="s">
        <v>90</v>
      </c>
      <c r="E882" s="9">
        <v>38.699998860000001</v>
      </c>
      <c r="F882" s="9">
        <v>2</v>
      </c>
      <c r="G882" s="9">
        <v>19.350000000000001</v>
      </c>
      <c r="H882" s="9">
        <v>1.5</v>
      </c>
      <c r="I882" s="9">
        <v>0</v>
      </c>
      <c r="J882" s="9">
        <v>0</v>
      </c>
      <c r="K882" s="62" t="s">
        <v>44</v>
      </c>
      <c r="L882" s="63" t="str">
        <f t="shared" si="26"/>
        <v>Feb-2018</v>
      </c>
      <c r="M882" s="29">
        <f t="shared" si="27"/>
        <v>43132</v>
      </c>
    </row>
    <row r="883" spans="1:13" ht="21" x14ac:dyDescent="0.35">
      <c r="A883" s="8">
        <v>2018</v>
      </c>
      <c r="B883" s="9">
        <v>2</v>
      </c>
      <c r="C883" s="17" t="s">
        <v>94</v>
      </c>
      <c r="D883" s="64" t="s">
        <v>73</v>
      </c>
      <c r="E883" s="9">
        <v>29.989999770000001</v>
      </c>
      <c r="F883" s="9">
        <v>1</v>
      </c>
      <c r="G883" s="9">
        <v>29.99</v>
      </c>
      <c r="H883" s="9">
        <v>4</v>
      </c>
      <c r="I883" s="9">
        <v>0</v>
      </c>
      <c r="J883" s="9">
        <v>0</v>
      </c>
      <c r="K883" s="62" t="s">
        <v>44</v>
      </c>
      <c r="L883" s="63" t="str">
        <f t="shared" si="26"/>
        <v>Feb-2018</v>
      </c>
      <c r="M883" s="29">
        <f t="shared" si="27"/>
        <v>43132</v>
      </c>
    </row>
    <row r="884" spans="1:13" ht="21" x14ac:dyDescent="0.35">
      <c r="A884" s="8">
        <v>2018</v>
      </c>
      <c r="B884" s="9">
        <v>2</v>
      </c>
      <c r="C884" s="17" t="s">
        <v>103</v>
      </c>
      <c r="D884" s="64" t="s">
        <v>92</v>
      </c>
      <c r="E884" s="9">
        <v>24.899999619999999</v>
      </c>
      <c r="F884" s="9">
        <v>1</v>
      </c>
      <c r="G884" s="9">
        <v>24.9</v>
      </c>
      <c r="H884" s="9">
        <v>5</v>
      </c>
      <c r="I884" s="9">
        <v>0</v>
      </c>
      <c r="J884" s="9">
        <v>0</v>
      </c>
      <c r="K884" s="62" t="s">
        <v>44</v>
      </c>
      <c r="L884" s="63" t="str">
        <f t="shared" si="26"/>
        <v>Feb-2018</v>
      </c>
      <c r="M884" s="29">
        <f t="shared" si="27"/>
        <v>43132</v>
      </c>
    </row>
    <row r="885" spans="1:13" ht="21" x14ac:dyDescent="0.35">
      <c r="A885" s="8">
        <v>2018</v>
      </c>
      <c r="B885" s="9">
        <v>3</v>
      </c>
      <c r="C885" s="17" t="s">
        <v>109</v>
      </c>
      <c r="D885" s="64" t="s">
        <v>51</v>
      </c>
      <c r="E885" s="9">
        <v>97861.079830000002</v>
      </c>
      <c r="F885" s="9">
        <v>416</v>
      </c>
      <c r="G885" s="9">
        <v>235.24</v>
      </c>
      <c r="H885" s="9">
        <v>3.7118220000000002</v>
      </c>
      <c r="I885" s="9">
        <v>0</v>
      </c>
      <c r="J885" s="9">
        <v>0</v>
      </c>
      <c r="K885" s="62" t="s">
        <v>44</v>
      </c>
      <c r="L885" s="63" t="str">
        <f t="shared" si="26"/>
        <v>Mar-2018</v>
      </c>
      <c r="M885" s="29">
        <f t="shared" si="27"/>
        <v>43160</v>
      </c>
    </row>
    <row r="886" spans="1:13" ht="21" x14ac:dyDescent="0.35">
      <c r="A886" s="8">
        <v>2018</v>
      </c>
      <c r="B886" s="9">
        <v>3</v>
      </c>
      <c r="C886" s="17" t="s">
        <v>115</v>
      </c>
      <c r="D886" s="64" t="s">
        <v>43</v>
      </c>
      <c r="E886" s="9">
        <v>90034.410699999993</v>
      </c>
      <c r="F886" s="9">
        <v>621</v>
      </c>
      <c r="G886" s="9">
        <v>144.97999999999999</v>
      </c>
      <c r="H886" s="9">
        <v>3.7089430000000001</v>
      </c>
      <c r="I886" s="9">
        <v>3</v>
      </c>
      <c r="J886" s="9">
        <v>0.48</v>
      </c>
      <c r="K886" s="62" t="s">
        <v>44</v>
      </c>
      <c r="L886" s="63" t="str">
        <f t="shared" si="26"/>
        <v>Mar-2018</v>
      </c>
      <c r="M886" s="29">
        <f t="shared" si="27"/>
        <v>43160</v>
      </c>
    </row>
    <row r="887" spans="1:13" ht="21" x14ac:dyDescent="0.35">
      <c r="A887" s="8">
        <v>2018</v>
      </c>
      <c r="B887" s="9">
        <v>3</v>
      </c>
      <c r="C887" s="17" t="s">
        <v>118</v>
      </c>
      <c r="D887" s="64" t="s">
        <v>56</v>
      </c>
      <c r="E887" s="9">
        <v>85673.529550000007</v>
      </c>
      <c r="F887" s="9">
        <v>638</v>
      </c>
      <c r="G887" s="9">
        <v>134.28</v>
      </c>
      <c r="H887" s="9">
        <v>3.8556780000000002</v>
      </c>
      <c r="I887" s="9">
        <v>1</v>
      </c>
      <c r="J887" s="9">
        <v>0.16</v>
      </c>
      <c r="K887" s="62" t="s">
        <v>44</v>
      </c>
      <c r="L887" s="63" t="str">
        <f t="shared" si="26"/>
        <v>Mar-2018</v>
      </c>
      <c r="M887" s="29">
        <f t="shared" si="27"/>
        <v>43160</v>
      </c>
    </row>
    <row r="888" spans="1:13" ht="21" x14ac:dyDescent="0.35">
      <c r="A888" s="8">
        <v>2018</v>
      </c>
      <c r="B888" s="9">
        <v>3</v>
      </c>
      <c r="C888" s="17" t="s">
        <v>120</v>
      </c>
      <c r="D888" s="64" t="s">
        <v>52</v>
      </c>
      <c r="E888" s="9">
        <v>85292.169850000006</v>
      </c>
      <c r="F888" s="9">
        <v>672</v>
      </c>
      <c r="G888" s="9">
        <v>126.92</v>
      </c>
      <c r="H888" s="9">
        <v>3.7548870000000001</v>
      </c>
      <c r="I888" s="9">
        <v>5</v>
      </c>
      <c r="J888" s="9">
        <v>0.74</v>
      </c>
      <c r="K888" s="62" t="s">
        <v>44</v>
      </c>
      <c r="L888" s="63" t="str">
        <f t="shared" si="26"/>
        <v>Mar-2018</v>
      </c>
      <c r="M888" s="29">
        <f t="shared" si="27"/>
        <v>43160</v>
      </c>
    </row>
    <row r="889" spans="1:13" ht="21" x14ac:dyDescent="0.35">
      <c r="A889" s="8">
        <v>2018</v>
      </c>
      <c r="B889" s="9">
        <v>3</v>
      </c>
      <c r="C889" s="17" t="s">
        <v>124</v>
      </c>
      <c r="D889" s="64" t="s">
        <v>66</v>
      </c>
      <c r="E889" s="9">
        <v>69256.38996</v>
      </c>
      <c r="F889" s="9">
        <v>670</v>
      </c>
      <c r="G889" s="9">
        <v>103.37</v>
      </c>
      <c r="H889" s="9">
        <v>3.6356060000000001</v>
      </c>
      <c r="I889" s="9">
        <v>0</v>
      </c>
      <c r="J889" s="9">
        <v>0</v>
      </c>
      <c r="K889" s="62" t="s">
        <v>44</v>
      </c>
      <c r="L889" s="63" t="str">
        <f t="shared" si="26"/>
        <v>Mar-2018</v>
      </c>
      <c r="M889" s="29">
        <f t="shared" si="27"/>
        <v>43160</v>
      </c>
    </row>
    <row r="890" spans="1:13" ht="21" x14ac:dyDescent="0.35">
      <c r="A890" s="8">
        <v>2018</v>
      </c>
      <c r="B890" s="9">
        <v>3</v>
      </c>
      <c r="C890" s="17" t="s">
        <v>42</v>
      </c>
      <c r="D890" s="64" t="s">
        <v>45</v>
      </c>
      <c r="E890" s="9">
        <v>52244.040300000001</v>
      </c>
      <c r="F890" s="9">
        <v>442</v>
      </c>
      <c r="G890" s="9">
        <v>118.2</v>
      </c>
      <c r="H890" s="9">
        <v>3.6632419999999999</v>
      </c>
      <c r="I890" s="9">
        <v>2</v>
      </c>
      <c r="J890" s="9">
        <v>0.45</v>
      </c>
      <c r="K890" s="62" t="s">
        <v>44</v>
      </c>
      <c r="L890" s="63" t="str">
        <f t="shared" si="26"/>
        <v>Mar-2018</v>
      </c>
      <c r="M890" s="29">
        <f t="shared" si="27"/>
        <v>43160</v>
      </c>
    </row>
    <row r="891" spans="1:13" ht="21" x14ac:dyDescent="0.35">
      <c r="A891" s="8">
        <v>2018</v>
      </c>
      <c r="B891" s="9">
        <v>3</v>
      </c>
      <c r="C891" s="17" t="s">
        <v>47</v>
      </c>
      <c r="D891" s="64" t="s">
        <v>53</v>
      </c>
      <c r="E891" s="9">
        <v>44753.240010000001</v>
      </c>
      <c r="F891" s="9">
        <v>325</v>
      </c>
      <c r="G891" s="9">
        <v>137.69999999999999</v>
      </c>
      <c r="H891" s="9">
        <v>3.8235290000000002</v>
      </c>
      <c r="I891" s="9">
        <v>0</v>
      </c>
      <c r="J891" s="9">
        <v>0</v>
      </c>
      <c r="K891" s="62" t="s">
        <v>44</v>
      </c>
      <c r="L891" s="63" t="str">
        <f t="shared" si="26"/>
        <v>Mar-2018</v>
      </c>
      <c r="M891" s="29">
        <f t="shared" si="27"/>
        <v>43160</v>
      </c>
    </row>
    <row r="892" spans="1:13" ht="21" x14ac:dyDescent="0.35">
      <c r="A892" s="8">
        <v>2018</v>
      </c>
      <c r="B892" s="9">
        <v>3</v>
      </c>
      <c r="C892" s="17" t="s">
        <v>125</v>
      </c>
      <c r="D892" s="64" t="s">
        <v>55</v>
      </c>
      <c r="E892" s="9">
        <v>41985.740080000003</v>
      </c>
      <c r="F892" s="9">
        <v>217</v>
      </c>
      <c r="G892" s="9">
        <v>193.48</v>
      </c>
      <c r="H892" s="9">
        <v>3.602325</v>
      </c>
      <c r="I892" s="9">
        <v>2</v>
      </c>
      <c r="J892" s="9">
        <v>0.92</v>
      </c>
      <c r="K892" s="62" t="s">
        <v>44</v>
      </c>
      <c r="L892" s="63" t="str">
        <f t="shared" si="26"/>
        <v>Mar-2018</v>
      </c>
      <c r="M892" s="29">
        <f t="shared" si="27"/>
        <v>43160</v>
      </c>
    </row>
    <row r="893" spans="1:13" ht="21" x14ac:dyDescent="0.35">
      <c r="A893" s="8">
        <v>2018</v>
      </c>
      <c r="B893" s="9">
        <v>3</v>
      </c>
      <c r="C893" s="17" t="s">
        <v>76</v>
      </c>
      <c r="D893" s="64" t="s">
        <v>62</v>
      </c>
      <c r="E893" s="9">
        <v>38353.22019</v>
      </c>
      <c r="F893" s="9">
        <v>242</v>
      </c>
      <c r="G893" s="9">
        <v>158.47999999999999</v>
      </c>
      <c r="H893" s="9">
        <v>3.8719000000000001</v>
      </c>
      <c r="I893" s="9">
        <v>0</v>
      </c>
      <c r="J893" s="9">
        <v>0</v>
      </c>
      <c r="K893" s="62" t="s">
        <v>44</v>
      </c>
      <c r="L893" s="63" t="str">
        <f t="shared" si="26"/>
        <v>Mar-2018</v>
      </c>
      <c r="M893" s="29">
        <f t="shared" si="27"/>
        <v>43160</v>
      </c>
    </row>
    <row r="894" spans="1:13" ht="21" x14ac:dyDescent="0.35">
      <c r="A894" s="8">
        <v>2018</v>
      </c>
      <c r="B894" s="9">
        <v>3</v>
      </c>
      <c r="C894" s="17" t="s">
        <v>77</v>
      </c>
      <c r="D894" s="64" t="s">
        <v>61</v>
      </c>
      <c r="E894" s="9">
        <v>37514.440110000003</v>
      </c>
      <c r="F894" s="9">
        <v>338</v>
      </c>
      <c r="G894" s="9">
        <v>110.99</v>
      </c>
      <c r="H894" s="9">
        <v>3.7440470000000001</v>
      </c>
      <c r="I894" s="9">
        <v>2</v>
      </c>
      <c r="J894" s="9">
        <v>0.59</v>
      </c>
      <c r="K894" s="62" t="s">
        <v>44</v>
      </c>
      <c r="L894" s="63" t="str">
        <f t="shared" si="26"/>
        <v>Mar-2018</v>
      </c>
      <c r="M894" s="29">
        <f t="shared" si="27"/>
        <v>43160</v>
      </c>
    </row>
    <row r="895" spans="1:13" ht="21" x14ac:dyDescent="0.35">
      <c r="A895" s="8">
        <v>2018</v>
      </c>
      <c r="B895" s="9">
        <v>3</v>
      </c>
      <c r="C895" s="17" t="s">
        <v>94</v>
      </c>
      <c r="D895" s="64" t="s">
        <v>60</v>
      </c>
      <c r="E895" s="9">
        <v>31301.62009</v>
      </c>
      <c r="F895" s="9">
        <v>151</v>
      </c>
      <c r="G895" s="9">
        <v>207.3</v>
      </c>
      <c r="H895" s="9">
        <v>3.4966879999999998</v>
      </c>
      <c r="I895" s="9">
        <v>0</v>
      </c>
      <c r="J895" s="9">
        <v>0</v>
      </c>
      <c r="K895" s="62" t="s">
        <v>44</v>
      </c>
      <c r="L895" s="63" t="str">
        <f t="shared" si="26"/>
        <v>Mar-2018</v>
      </c>
      <c r="M895" s="29">
        <f t="shared" si="27"/>
        <v>43160</v>
      </c>
    </row>
    <row r="896" spans="1:13" ht="21" x14ac:dyDescent="0.35">
      <c r="A896" s="8">
        <v>2018</v>
      </c>
      <c r="B896" s="9">
        <v>3</v>
      </c>
      <c r="C896" s="17" t="s">
        <v>103</v>
      </c>
      <c r="D896" s="64" t="s">
        <v>57</v>
      </c>
      <c r="E896" s="9">
        <v>27612.250209999998</v>
      </c>
      <c r="F896" s="9">
        <v>205</v>
      </c>
      <c r="G896" s="9">
        <v>134.69</v>
      </c>
      <c r="H896" s="9">
        <v>3.8112740000000001</v>
      </c>
      <c r="I896" s="9">
        <v>1</v>
      </c>
      <c r="J896" s="9">
        <v>0.49</v>
      </c>
      <c r="K896" s="62" t="s">
        <v>44</v>
      </c>
      <c r="L896" s="63" t="str">
        <f t="shared" si="26"/>
        <v>Mar-2018</v>
      </c>
      <c r="M896" s="29">
        <f t="shared" si="27"/>
        <v>43160</v>
      </c>
    </row>
    <row r="897" spans="1:13" ht="21" x14ac:dyDescent="0.35">
      <c r="A897" s="8">
        <v>2018</v>
      </c>
      <c r="B897" s="9">
        <v>3</v>
      </c>
      <c r="C897" s="17" t="s">
        <v>109</v>
      </c>
      <c r="D897" s="64" t="s">
        <v>46</v>
      </c>
      <c r="E897" s="9">
        <v>25804.88998</v>
      </c>
      <c r="F897" s="9">
        <v>329</v>
      </c>
      <c r="G897" s="9">
        <v>78.430000000000007</v>
      </c>
      <c r="H897" s="9">
        <v>3.5460120000000002</v>
      </c>
      <c r="I897" s="9">
        <v>1</v>
      </c>
      <c r="J897" s="9">
        <v>0.3</v>
      </c>
      <c r="K897" s="62" t="s">
        <v>44</v>
      </c>
      <c r="L897" s="63" t="str">
        <f t="shared" si="26"/>
        <v>Mar-2018</v>
      </c>
      <c r="M897" s="29">
        <f t="shared" si="27"/>
        <v>43160</v>
      </c>
    </row>
    <row r="898" spans="1:13" ht="21" x14ac:dyDescent="0.35">
      <c r="A898" s="8">
        <v>2018</v>
      </c>
      <c r="B898" s="9">
        <v>3</v>
      </c>
      <c r="C898" s="17" t="s">
        <v>115</v>
      </c>
      <c r="D898" s="64" t="s">
        <v>49</v>
      </c>
      <c r="E898" s="9">
        <v>23407.40019</v>
      </c>
      <c r="F898" s="9">
        <v>222</v>
      </c>
      <c r="G898" s="9">
        <v>105.44</v>
      </c>
      <c r="H898" s="9">
        <v>3.7285059999999999</v>
      </c>
      <c r="I898" s="9">
        <v>2</v>
      </c>
      <c r="J898" s="9">
        <v>0.9</v>
      </c>
      <c r="K898" s="62" t="s">
        <v>44</v>
      </c>
      <c r="L898" s="63" t="str">
        <f t="shared" ref="L898:L961" si="28">TEXT(DATE(A898,B898,1),"mmm-yyyy")</f>
        <v>Mar-2018</v>
      </c>
      <c r="M898" s="29">
        <f t="shared" ref="M898:M961" si="29">DATE(A898,B898,1)</f>
        <v>43160</v>
      </c>
    </row>
    <row r="899" spans="1:13" ht="21" x14ac:dyDescent="0.35">
      <c r="A899" s="8">
        <v>2018</v>
      </c>
      <c r="B899" s="9">
        <v>3</v>
      </c>
      <c r="C899" s="17" t="s">
        <v>118</v>
      </c>
      <c r="D899" s="64" t="s">
        <v>48</v>
      </c>
      <c r="E899" s="9">
        <v>20473.250019999999</v>
      </c>
      <c r="F899" s="9">
        <v>186</v>
      </c>
      <c r="G899" s="9">
        <v>110.07</v>
      </c>
      <c r="H899" s="9">
        <v>3.9783780000000002</v>
      </c>
      <c r="I899" s="9">
        <v>0</v>
      </c>
      <c r="J899" s="9">
        <v>0</v>
      </c>
      <c r="K899" s="62" t="s">
        <v>44</v>
      </c>
      <c r="L899" s="63" t="str">
        <f t="shared" si="28"/>
        <v>Mar-2018</v>
      </c>
      <c r="M899" s="29">
        <f t="shared" si="29"/>
        <v>43160</v>
      </c>
    </row>
    <row r="900" spans="1:13" ht="21" x14ac:dyDescent="0.35">
      <c r="A900" s="8">
        <v>2018</v>
      </c>
      <c r="B900" s="9">
        <v>3</v>
      </c>
      <c r="C900" s="17" t="s">
        <v>120</v>
      </c>
      <c r="D900" s="64" t="s">
        <v>0</v>
      </c>
      <c r="E900" s="9">
        <v>17378.109970000001</v>
      </c>
      <c r="F900" s="9">
        <v>127</v>
      </c>
      <c r="G900" s="9">
        <v>136.84</v>
      </c>
      <c r="H900" s="9" t="s">
        <v>0</v>
      </c>
      <c r="I900" s="9" t="s">
        <v>0</v>
      </c>
      <c r="J900" s="9" t="s">
        <v>0</v>
      </c>
      <c r="K900" s="62" t="s">
        <v>44</v>
      </c>
      <c r="L900" s="63" t="str">
        <f t="shared" si="28"/>
        <v>Mar-2018</v>
      </c>
      <c r="M900" s="29">
        <f t="shared" si="29"/>
        <v>43160</v>
      </c>
    </row>
    <row r="901" spans="1:13" ht="21" x14ac:dyDescent="0.35">
      <c r="A901" s="8">
        <v>2018</v>
      </c>
      <c r="B901" s="9">
        <v>3</v>
      </c>
      <c r="C901" s="17" t="s">
        <v>124</v>
      </c>
      <c r="D901" s="64" t="s">
        <v>80</v>
      </c>
      <c r="E901" s="9">
        <v>14260.150019999999</v>
      </c>
      <c r="F901" s="9">
        <v>36</v>
      </c>
      <c r="G901" s="9">
        <v>396.12</v>
      </c>
      <c r="H901" s="9">
        <v>3.8285710000000002</v>
      </c>
      <c r="I901" s="9">
        <v>1</v>
      </c>
      <c r="J901" s="9">
        <v>2.78</v>
      </c>
      <c r="K901" s="62" t="s">
        <v>44</v>
      </c>
      <c r="L901" s="63" t="str">
        <f t="shared" si="28"/>
        <v>Mar-2018</v>
      </c>
      <c r="M901" s="29">
        <f t="shared" si="29"/>
        <v>43160</v>
      </c>
    </row>
    <row r="902" spans="1:13" ht="21" x14ac:dyDescent="0.35">
      <c r="A902" s="8">
        <v>2018</v>
      </c>
      <c r="B902" s="9">
        <v>3</v>
      </c>
      <c r="C902" s="17" t="s">
        <v>42</v>
      </c>
      <c r="D902" s="64" t="s">
        <v>64</v>
      </c>
      <c r="E902" s="9">
        <v>13643.69</v>
      </c>
      <c r="F902" s="9">
        <v>110</v>
      </c>
      <c r="G902" s="9">
        <v>124.03</v>
      </c>
      <c r="H902" s="9">
        <v>3.7454540000000001</v>
      </c>
      <c r="I902" s="9">
        <v>0</v>
      </c>
      <c r="J902" s="9">
        <v>0</v>
      </c>
      <c r="K902" s="62" t="s">
        <v>44</v>
      </c>
      <c r="L902" s="63" t="str">
        <f t="shared" si="28"/>
        <v>Mar-2018</v>
      </c>
      <c r="M902" s="29">
        <f t="shared" si="29"/>
        <v>43160</v>
      </c>
    </row>
    <row r="903" spans="1:13" ht="21" x14ac:dyDescent="0.35">
      <c r="A903" s="8">
        <v>2018</v>
      </c>
      <c r="B903" s="9">
        <v>3</v>
      </c>
      <c r="C903" s="17" t="s">
        <v>47</v>
      </c>
      <c r="D903" s="64" t="s">
        <v>81</v>
      </c>
      <c r="E903" s="9">
        <v>13152.74001</v>
      </c>
      <c r="F903" s="9">
        <v>146</v>
      </c>
      <c r="G903" s="9">
        <v>90.09</v>
      </c>
      <c r="H903" s="9">
        <v>3.828767</v>
      </c>
      <c r="I903" s="9">
        <v>0</v>
      </c>
      <c r="J903" s="9">
        <v>0</v>
      </c>
      <c r="K903" s="62" t="s">
        <v>44</v>
      </c>
      <c r="L903" s="63" t="str">
        <f t="shared" si="28"/>
        <v>Mar-2018</v>
      </c>
      <c r="M903" s="29">
        <f t="shared" si="29"/>
        <v>43160</v>
      </c>
    </row>
    <row r="904" spans="1:13" ht="21" x14ac:dyDescent="0.35">
      <c r="A904" s="8">
        <v>2018</v>
      </c>
      <c r="B904" s="9">
        <v>3</v>
      </c>
      <c r="C904" s="17" t="s">
        <v>125</v>
      </c>
      <c r="D904" s="64" t="s">
        <v>58</v>
      </c>
      <c r="E904" s="9">
        <v>12554.800010000001</v>
      </c>
      <c r="F904" s="9">
        <v>244</v>
      </c>
      <c r="G904" s="9">
        <v>51.45</v>
      </c>
      <c r="H904" s="9">
        <v>3.7909830000000002</v>
      </c>
      <c r="I904" s="9">
        <v>0</v>
      </c>
      <c r="J904" s="9">
        <v>0</v>
      </c>
      <c r="K904" s="62" t="s">
        <v>44</v>
      </c>
      <c r="L904" s="63" t="str">
        <f t="shared" si="28"/>
        <v>Mar-2018</v>
      </c>
      <c r="M904" s="29">
        <f t="shared" si="29"/>
        <v>43160</v>
      </c>
    </row>
    <row r="905" spans="1:13" ht="21" x14ac:dyDescent="0.35">
      <c r="A905" s="8">
        <v>2018</v>
      </c>
      <c r="B905" s="9">
        <v>3</v>
      </c>
      <c r="C905" s="17" t="s">
        <v>76</v>
      </c>
      <c r="D905" s="64" t="s">
        <v>50</v>
      </c>
      <c r="E905" s="9">
        <v>11858.72035</v>
      </c>
      <c r="F905" s="9">
        <v>54</v>
      </c>
      <c r="G905" s="9">
        <v>219.61</v>
      </c>
      <c r="H905" s="9">
        <v>3.7058819999999999</v>
      </c>
      <c r="I905" s="9">
        <v>0</v>
      </c>
      <c r="J905" s="9">
        <v>0</v>
      </c>
      <c r="K905" s="62" t="s">
        <v>44</v>
      </c>
      <c r="L905" s="63" t="str">
        <f t="shared" si="28"/>
        <v>Mar-2018</v>
      </c>
      <c r="M905" s="29">
        <f t="shared" si="29"/>
        <v>43160</v>
      </c>
    </row>
    <row r="906" spans="1:13" ht="21" x14ac:dyDescent="0.35">
      <c r="A906" s="8">
        <v>2018</v>
      </c>
      <c r="B906" s="9">
        <v>3</v>
      </c>
      <c r="C906" s="17" t="s">
        <v>77</v>
      </c>
      <c r="D906" s="64" t="s">
        <v>84</v>
      </c>
      <c r="E906" s="9">
        <v>10822.200070000001</v>
      </c>
      <c r="F906" s="9">
        <v>51</v>
      </c>
      <c r="G906" s="9">
        <v>212.2</v>
      </c>
      <c r="H906" s="9">
        <v>4.1176469999999998</v>
      </c>
      <c r="I906" s="9">
        <v>0</v>
      </c>
      <c r="J906" s="9">
        <v>0</v>
      </c>
      <c r="K906" s="62" t="s">
        <v>44</v>
      </c>
      <c r="L906" s="63" t="str">
        <f t="shared" si="28"/>
        <v>Mar-2018</v>
      </c>
      <c r="M906" s="29">
        <f t="shared" si="29"/>
        <v>43160</v>
      </c>
    </row>
    <row r="907" spans="1:13" ht="21" x14ac:dyDescent="0.35">
      <c r="A907" s="8">
        <v>2018</v>
      </c>
      <c r="B907" s="9">
        <v>3</v>
      </c>
      <c r="C907" s="17" t="s">
        <v>94</v>
      </c>
      <c r="D907" s="64" t="s">
        <v>69</v>
      </c>
      <c r="E907" s="9">
        <v>10606.68995</v>
      </c>
      <c r="F907" s="9">
        <v>33</v>
      </c>
      <c r="G907" s="9">
        <v>321.41000000000003</v>
      </c>
      <c r="H907" s="9">
        <v>2.878787</v>
      </c>
      <c r="I907" s="9">
        <v>0</v>
      </c>
      <c r="J907" s="9">
        <v>0</v>
      </c>
      <c r="K907" s="62" t="s">
        <v>44</v>
      </c>
      <c r="L907" s="63" t="str">
        <f t="shared" si="28"/>
        <v>Mar-2018</v>
      </c>
      <c r="M907" s="29">
        <f t="shared" si="29"/>
        <v>43160</v>
      </c>
    </row>
    <row r="908" spans="1:13" ht="21" x14ac:dyDescent="0.35">
      <c r="A908" s="8">
        <v>2018</v>
      </c>
      <c r="B908" s="9">
        <v>3</v>
      </c>
      <c r="C908" s="17" t="s">
        <v>103</v>
      </c>
      <c r="D908" s="64" t="s">
        <v>85</v>
      </c>
      <c r="E908" s="9">
        <v>10549.379989999999</v>
      </c>
      <c r="F908" s="9">
        <v>52</v>
      </c>
      <c r="G908" s="9">
        <v>202.87</v>
      </c>
      <c r="H908" s="9">
        <v>3.5882350000000001</v>
      </c>
      <c r="I908" s="9">
        <v>0</v>
      </c>
      <c r="J908" s="9">
        <v>0</v>
      </c>
      <c r="K908" s="62" t="s">
        <v>44</v>
      </c>
      <c r="L908" s="63" t="str">
        <f t="shared" si="28"/>
        <v>Mar-2018</v>
      </c>
      <c r="M908" s="29">
        <f t="shared" si="29"/>
        <v>43160</v>
      </c>
    </row>
    <row r="909" spans="1:13" ht="21" x14ac:dyDescent="0.35">
      <c r="A909" s="8">
        <v>2018</v>
      </c>
      <c r="B909" s="9">
        <v>3</v>
      </c>
      <c r="C909" s="17" t="s">
        <v>109</v>
      </c>
      <c r="D909" s="64" t="s">
        <v>65</v>
      </c>
      <c r="E909" s="9">
        <v>10261.57999</v>
      </c>
      <c r="F909" s="9">
        <v>131</v>
      </c>
      <c r="G909" s="9">
        <v>78.33</v>
      </c>
      <c r="H909" s="9">
        <v>3.8653840000000002</v>
      </c>
      <c r="I909" s="9">
        <v>0</v>
      </c>
      <c r="J909" s="9">
        <v>0</v>
      </c>
      <c r="K909" s="62" t="s">
        <v>44</v>
      </c>
      <c r="L909" s="63" t="str">
        <f t="shared" si="28"/>
        <v>Mar-2018</v>
      </c>
      <c r="M909" s="29">
        <f t="shared" si="29"/>
        <v>43160</v>
      </c>
    </row>
    <row r="910" spans="1:13" ht="21" x14ac:dyDescent="0.35">
      <c r="A910" s="8">
        <v>2018</v>
      </c>
      <c r="B910" s="9">
        <v>3</v>
      </c>
      <c r="C910" s="17" t="s">
        <v>115</v>
      </c>
      <c r="D910" s="64" t="s">
        <v>96</v>
      </c>
      <c r="E910" s="9">
        <v>9876.5900199999996</v>
      </c>
      <c r="F910" s="9">
        <v>70</v>
      </c>
      <c r="G910" s="9">
        <v>141.09</v>
      </c>
      <c r="H910" s="9">
        <v>3.956521</v>
      </c>
      <c r="I910" s="9">
        <v>0</v>
      </c>
      <c r="J910" s="9">
        <v>0</v>
      </c>
      <c r="K910" s="62" t="s">
        <v>44</v>
      </c>
      <c r="L910" s="63" t="str">
        <f t="shared" si="28"/>
        <v>Mar-2018</v>
      </c>
      <c r="M910" s="29">
        <f t="shared" si="29"/>
        <v>43160</v>
      </c>
    </row>
    <row r="911" spans="1:13" ht="21" x14ac:dyDescent="0.35">
      <c r="A911" s="8">
        <v>2018</v>
      </c>
      <c r="B911" s="9">
        <v>3</v>
      </c>
      <c r="C911" s="17" t="s">
        <v>118</v>
      </c>
      <c r="D911" s="64" t="s">
        <v>119</v>
      </c>
      <c r="E911" s="9">
        <v>7890.8999940000003</v>
      </c>
      <c r="F911" s="9">
        <v>7</v>
      </c>
      <c r="G911" s="9">
        <v>1127.27</v>
      </c>
      <c r="H911" s="9">
        <v>4.8571419999999996</v>
      </c>
      <c r="I911" s="9">
        <v>0</v>
      </c>
      <c r="J911" s="9">
        <v>0</v>
      </c>
      <c r="K911" s="62" t="s">
        <v>44</v>
      </c>
      <c r="L911" s="63" t="str">
        <f t="shared" si="28"/>
        <v>Mar-2018</v>
      </c>
      <c r="M911" s="29">
        <f t="shared" si="29"/>
        <v>43160</v>
      </c>
    </row>
    <row r="912" spans="1:13" ht="21" x14ac:dyDescent="0.35">
      <c r="A912" s="8">
        <v>2018</v>
      </c>
      <c r="B912" s="9">
        <v>3</v>
      </c>
      <c r="C912" s="17" t="s">
        <v>120</v>
      </c>
      <c r="D912" s="64" t="s">
        <v>91</v>
      </c>
      <c r="E912" s="9">
        <v>6019</v>
      </c>
      <c r="F912" s="9">
        <v>25</v>
      </c>
      <c r="G912" s="9">
        <v>240.76</v>
      </c>
      <c r="H912" s="9">
        <v>4.16</v>
      </c>
      <c r="I912" s="9">
        <v>0</v>
      </c>
      <c r="J912" s="9">
        <v>0</v>
      </c>
      <c r="K912" s="62" t="s">
        <v>44</v>
      </c>
      <c r="L912" s="63" t="str">
        <f t="shared" si="28"/>
        <v>Mar-2018</v>
      </c>
      <c r="M912" s="29">
        <f t="shared" si="29"/>
        <v>43160</v>
      </c>
    </row>
    <row r="913" spans="1:13" ht="21" x14ac:dyDescent="0.35">
      <c r="A913" s="8">
        <v>2018</v>
      </c>
      <c r="B913" s="9">
        <v>3</v>
      </c>
      <c r="C913" s="17" t="s">
        <v>124</v>
      </c>
      <c r="D913" s="64" t="s">
        <v>83</v>
      </c>
      <c r="E913" s="9">
        <v>5911.7699490000005</v>
      </c>
      <c r="F913" s="9">
        <v>52</v>
      </c>
      <c r="G913" s="9">
        <v>113.69</v>
      </c>
      <c r="H913" s="9">
        <v>4.4117639999999998</v>
      </c>
      <c r="I913" s="9">
        <v>0</v>
      </c>
      <c r="J913" s="9">
        <v>0</v>
      </c>
      <c r="K913" s="62" t="s">
        <v>44</v>
      </c>
      <c r="L913" s="63" t="str">
        <f t="shared" si="28"/>
        <v>Mar-2018</v>
      </c>
      <c r="M913" s="29">
        <f t="shared" si="29"/>
        <v>43160</v>
      </c>
    </row>
    <row r="914" spans="1:13" ht="21" x14ac:dyDescent="0.35">
      <c r="A914" s="8">
        <v>2018</v>
      </c>
      <c r="B914" s="9">
        <v>3</v>
      </c>
      <c r="C914" s="17" t="s">
        <v>42</v>
      </c>
      <c r="D914" s="64" t="s">
        <v>79</v>
      </c>
      <c r="E914" s="9">
        <v>5648.1999889999997</v>
      </c>
      <c r="F914" s="9">
        <v>12</v>
      </c>
      <c r="G914" s="9">
        <v>470.68</v>
      </c>
      <c r="H914" s="9">
        <v>4.0833329999999997</v>
      </c>
      <c r="I914" s="9">
        <v>0</v>
      </c>
      <c r="J914" s="9">
        <v>0</v>
      </c>
      <c r="K914" s="62" t="s">
        <v>44</v>
      </c>
      <c r="L914" s="63" t="str">
        <f t="shared" si="28"/>
        <v>Mar-2018</v>
      </c>
      <c r="M914" s="29">
        <f t="shared" si="29"/>
        <v>43160</v>
      </c>
    </row>
    <row r="915" spans="1:13" ht="21" x14ac:dyDescent="0.35">
      <c r="A915" s="8">
        <v>2018</v>
      </c>
      <c r="B915" s="9">
        <v>3</v>
      </c>
      <c r="C915" s="17" t="s">
        <v>47</v>
      </c>
      <c r="D915" s="64" t="s">
        <v>97</v>
      </c>
      <c r="E915" s="9">
        <v>5639.5099769999997</v>
      </c>
      <c r="F915" s="9">
        <v>34</v>
      </c>
      <c r="G915" s="9">
        <v>165.87</v>
      </c>
      <c r="H915" s="9">
        <v>3.7058819999999999</v>
      </c>
      <c r="I915" s="9">
        <v>0</v>
      </c>
      <c r="J915" s="9">
        <v>0</v>
      </c>
      <c r="K915" s="62" t="s">
        <v>44</v>
      </c>
      <c r="L915" s="63" t="str">
        <f t="shared" si="28"/>
        <v>Mar-2018</v>
      </c>
      <c r="M915" s="29">
        <f t="shared" si="29"/>
        <v>43160</v>
      </c>
    </row>
    <row r="916" spans="1:13" ht="21" x14ac:dyDescent="0.35">
      <c r="A916" s="8">
        <v>2018</v>
      </c>
      <c r="B916" s="9">
        <v>3</v>
      </c>
      <c r="C916" s="17" t="s">
        <v>125</v>
      </c>
      <c r="D916" s="64" t="s">
        <v>100</v>
      </c>
      <c r="E916" s="9">
        <v>5374.8700349999999</v>
      </c>
      <c r="F916" s="9">
        <v>13</v>
      </c>
      <c r="G916" s="9">
        <v>413.45</v>
      </c>
      <c r="H916" s="9">
        <v>3.6153840000000002</v>
      </c>
      <c r="I916" s="9">
        <v>0</v>
      </c>
      <c r="J916" s="9">
        <v>0</v>
      </c>
      <c r="K916" s="62" t="s">
        <v>44</v>
      </c>
      <c r="L916" s="63" t="str">
        <f t="shared" si="28"/>
        <v>Mar-2018</v>
      </c>
      <c r="M916" s="29">
        <f t="shared" si="29"/>
        <v>43160</v>
      </c>
    </row>
    <row r="917" spans="1:13" ht="21" x14ac:dyDescent="0.35">
      <c r="A917" s="8">
        <v>2018</v>
      </c>
      <c r="B917" s="9">
        <v>3</v>
      </c>
      <c r="C917" s="17" t="s">
        <v>76</v>
      </c>
      <c r="D917" s="64" t="s">
        <v>82</v>
      </c>
      <c r="E917" s="9">
        <v>3521.8699419999998</v>
      </c>
      <c r="F917" s="9">
        <v>19</v>
      </c>
      <c r="G917" s="9">
        <v>185.36</v>
      </c>
      <c r="H917" s="9">
        <v>3.5263149999999999</v>
      </c>
      <c r="I917" s="9">
        <v>0</v>
      </c>
      <c r="J917" s="9">
        <v>0</v>
      </c>
      <c r="K917" s="62" t="s">
        <v>44</v>
      </c>
      <c r="L917" s="63" t="str">
        <f t="shared" si="28"/>
        <v>Mar-2018</v>
      </c>
      <c r="M917" s="29">
        <f t="shared" si="29"/>
        <v>43160</v>
      </c>
    </row>
    <row r="918" spans="1:13" ht="21" x14ac:dyDescent="0.35">
      <c r="A918" s="8">
        <v>2018</v>
      </c>
      <c r="B918" s="9">
        <v>3</v>
      </c>
      <c r="C918" s="17" t="s">
        <v>77</v>
      </c>
      <c r="D918" s="64" t="s">
        <v>67</v>
      </c>
      <c r="E918" s="9">
        <v>2922.4500010000002</v>
      </c>
      <c r="F918" s="9">
        <v>26</v>
      </c>
      <c r="G918" s="9">
        <v>112.4</v>
      </c>
      <c r="H918" s="9">
        <v>3.76</v>
      </c>
      <c r="I918" s="9">
        <v>0</v>
      </c>
      <c r="J918" s="9">
        <v>0</v>
      </c>
      <c r="K918" s="62" t="s">
        <v>44</v>
      </c>
      <c r="L918" s="63" t="str">
        <f t="shared" si="28"/>
        <v>Mar-2018</v>
      </c>
      <c r="M918" s="29">
        <f t="shared" si="29"/>
        <v>43160</v>
      </c>
    </row>
    <row r="919" spans="1:13" ht="21" x14ac:dyDescent="0.35">
      <c r="A919" s="8">
        <v>2018</v>
      </c>
      <c r="B919" s="9">
        <v>3</v>
      </c>
      <c r="C919" s="17" t="s">
        <v>94</v>
      </c>
      <c r="D919" s="64" t="s">
        <v>88</v>
      </c>
      <c r="E919" s="9">
        <v>2842.6600039999998</v>
      </c>
      <c r="F919" s="9">
        <v>12</v>
      </c>
      <c r="G919" s="9">
        <v>236.89</v>
      </c>
      <c r="H919" s="9">
        <v>3.9166660000000002</v>
      </c>
      <c r="I919" s="9">
        <v>0</v>
      </c>
      <c r="J919" s="9">
        <v>0</v>
      </c>
      <c r="K919" s="62" t="s">
        <v>44</v>
      </c>
      <c r="L919" s="63" t="str">
        <f t="shared" si="28"/>
        <v>Mar-2018</v>
      </c>
      <c r="M919" s="29">
        <f t="shared" si="29"/>
        <v>43160</v>
      </c>
    </row>
    <row r="920" spans="1:13" ht="21" x14ac:dyDescent="0.35">
      <c r="A920" s="8">
        <v>2018</v>
      </c>
      <c r="B920" s="9">
        <v>3</v>
      </c>
      <c r="C920" s="17" t="s">
        <v>103</v>
      </c>
      <c r="D920" s="64" t="s">
        <v>54</v>
      </c>
      <c r="E920" s="9">
        <v>2667.5799940000002</v>
      </c>
      <c r="F920" s="9">
        <v>24</v>
      </c>
      <c r="G920" s="9">
        <v>111.15</v>
      </c>
      <c r="H920" s="9">
        <v>3.625</v>
      </c>
      <c r="I920" s="9">
        <v>0</v>
      </c>
      <c r="J920" s="9">
        <v>0</v>
      </c>
      <c r="K920" s="62" t="s">
        <v>44</v>
      </c>
      <c r="L920" s="63" t="str">
        <f t="shared" si="28"/>
        <v>Mar-2018</v>
      </c>
      <c r="M920" s="29">
        <f t="shared" si="29"/>
        <v>43160</v>
      </c>
    </row>
    <row r="921" spans="1:13" ht="21" x14ac:dyDescent="0.35">
      <c r="A921" s="8">
        <v>2018</v>
      </c>
      <c r="B921" s="9">
        <v>3</v>
      </c>
      <c r="C921" s="17" t="s">
        <v>109</v>
      </c>
      <c r="D921" s="64" t="s">
        <v>121</v>
      </c>
      <c r="E921" s="9">
        <v>2536.7000050000001</v>
      </c>
      <c r="F921" s="9">
        <v>12</v>
      </c>
      <c r="G921" s="9">
        <v>211.39</v>
      </c>
      <c r="H921" s="9">
        <v>3.4166660000000002</v>
      </c>
      <c r="I921" s="9">
        <v>0</v>
      </c>
      <c r="J921" s="9">
        <v>0</v>
      </c>
      <c r="K921" s="62" t="s">
        <v>44</v>
      </c>
      <c r="L921" s="63" t="str">
        <f t="shared" si="28"/>
        <v>Mar-2018</v>
      </c>
      <c r="M921" s="29">
        <f t="shared" si="29"/>
        <v>43160</v>
      </c>
    </row>
    <row r="922" spans="1:13" ht="21" x14ac:dyDescent="0.35">
      <c r="A922" s="8">
        <v>2018</v>
      </c>
      <c r="B922" s="9">
        <v>3</v>
      </c>
      <c r="C922" s="17" t="s">
        <v>115</v>
      </c>
      <c r="D922" s="64" t="s">
        <v>99</v>
      </c>
      <c r="E922" s="9">
        <v>2522.3800350000001</v>
      </c>
      <c r="F922" s="9">
        <v>21</v>
      </c>
      <c r="G922" s="9">
        <v>120.11</v>
      </c>
      <c r="H922" s="9">
        <v>3.3333330000000001</v>
      </c>
      <c r="I922" s="9">
        <v>0</v>
      </c>
      <c r="J922" s="9">
        <v>0</v>
      </c>
      <c r="K922" s="62" t="s">
        <v>44</v>
      </c>
      <c r="L922" s="63" t="str">
        <f t="shared" si="28"/>
        <v>Mar-2018</v>
      </c>
      <c r="M922" s="29">
        <f t="shared" si="29"/>
        <v>43160</v>
      </c>
    </row>
    <row r="923" spans="1:13" ht="21" x14ac:dyDescent="0.35">
      <c r="A923" s="8">
        <v>2018</v>
      </c>
      <c r="B923" s="9">
        <v>3</v>
      </c>
      <c r="C923" s="17" t="s">
        <v>118</v>
      </c>
      <c r="D923" s="64" t="s">
        <v>98</v>
      </c>
      <c r="E923" s="9">
        <v>2497.2299710000002</v>
      </c>
      <c r="F923" s="9">
        <v>20</v>
      </c>
      <c r="G923" s="9">
        <v>124.86</v>
      </c>
      <c r="H923" s="9">
        <v>4.05</v>
      </c>
      <c r="I923" s="9">
        <v>0</v>
      </c>
      <c r="J923" s="9">
        <v>0</v>
      </c>
      <c r="K923" s="62" t="s">
        <v>44</v>
      </c>
      <c r="L923" s="63" t="str">
        <f t="shared" si="28"/>
        <v>Mar-2018</v>
      </c>
      <c r="M923" s="29">
        <f t="shared" si="29"/>
        <v>43160</v>
      </c>
    </row>
    <row r="924" spans="1:13" ht="21" x14ac:dyDescent="0.35">
      <c r="A924" s="8">
        <v>2018</v>
      </c>
      <c r="B924" s="9">
        <v>3</v>
      </c>
      <c r="C924" s="17" t="s">
        <v>120</v>
      </c>
      <c r="D924" s="64" t="s">
        <v>106</v>
      </c>
      <c r="E924" s="9">
        <v>2350.7700289999998</v>
      </c>
      <c r="F924" s="9">
        <v>17</v>
      </c>
      <c r="G924" s="9">
        <v>138.28</v>
      </c>
      <c r="H924" s="9">
        <v>4.4117639999999998</v>
      </c>
      <c r="I924" s="9">
        <v>0</v>
      </c>
      <c r="J924" s="9">
        <v>0</v>
      </c>
      <c r="K924" s="62" t="s">
        <v>44</v>
      </c>
      <c r="L924" s="63" t="str">
        <f t="shared" si="28"/>
        <v>Mar-2018</v>
      </c>
      <c r="M924" s="29">
        <f t="shared" si="29"/>
        <v>43160</v>
      </c>
    </row>
    <row r="925" spans="1:13" ht="21" x14ac:dyDescent="0.35">
      <c r="A925" s="8">
        <v>2018</v>
      </c>
      <c r="B925" s="9">
        <v>3</v>
      </c>
      <c r="C925" s="17" t="s">
        <v>124</v>
      </c>
      <c r="D925" s="64" t="s">
        <v>63</v>
      </c>
      <c r="E925" s="9">
        <v>1930.5899979999999</v>
      </c>
      <c r="F925" s="9">
        <v>12</v>
      </c>
      <c r="G925" s="9">
        <v>160.88</v>
      </c>
      <c r="H925" s="9">
        <v>3.3333330000000001</v>
      </c>
      <c r="I925" s="9">
        <v>0</v>
      </c>
      <c r="J925" s="9">
        <v>0</v>
      </c>
      <c r="K925" s="62" t="s">
        <v>44</v>
      </c>
      <c r="L925" s="63" t="str">
        <f t="shared" si="28"/>
        <v>Mar-2018</v>
      </c>
      <c r="M925" s="29">
        <f t="shared" si="29"/>
        <v>43160</v>
      </c>
    </row>
    <row r="926" spans="1:13" ht="21" x14ac:dyDescent="0.35">
      <c r="A926" s="8">
        <v>2018</v>
      </c>
      <c r="B926" s="9">
        <v>3</v>
      </c>
      <c r="C926" s="17" t="s">
        <v>42</v>
      </c>
      <c r="D926" s="64" t="s">
        <v>71</v>
      </c>
      <c r="E926" s="9">
        <v>1711.9300169999999</v>
      </c>
      <c r="F926" s="9">
        <v>34</v>
      </c>
      <c r="G926" s="9">
        <v>50.35</v>
      </c>
      <c r="H926" s="9">
        <v>4.4411759999999996</v>
      </c>
      <c r="I926" s="9">
        <v>0</v>
      </c>
      <c r="J926" s="9">
        <v>0</v>
      </c>
      <c r="K926" s="62" t="s">
        <v>44</v>
      </c>
      <c r="L926" s="63" t="str">
        <f t="shared" si="28"/>
        <v>Mar-2018</v>
      </c>
      <c r="M926" s="29">
        <f t="shared" si="29"/>
        <v>43160</v>
      </c>
    </row>
    <row r="927" spans="1:13" ht="21" x14ac:dyDescent="0.35">
      <c r="A927" s="8">
        <v>2018</v>
      </c>
      <c r="B927" s="9">
        <v>3</v>
      </c>
      <c r="C927" s="17" t="s">
        <v>47</v>
      </c>
      <c r="D927" s="64" t="s">
        <v>72</v>
      </c>
      <c r="E927" s="9">
        <v>1559.900003</v>
      </c>
      <c r="F927" s="9">
        <v>33</v>
      </c>
      <c r="G927" s="9">
        <v>47.27</v>
      </c>
      <c r="H927" s="9">
        <v>3.818181</v>
      </c>
      <c r="I927" s="9">
        <v>0</v>
      </c>
      <c r="J927" s="9">
        <v>0</v>
      </c>
      <c r="K927" s="62" t="s">
        <v>44</v>
      </c>
      <c r="L927" s="63" t="str">
        <f t="shared" si="28"/>
        <v>Mar-2018</v>
      </c>
      <c r="M927" s="29">
        <f t="shared" si="29"/>
        <v>43160</v>
      </c>
    </row>
    <row r="928" spans="1:13" ht="21" x14ac:dyDescent="0.35">
      <c r="A928" s="8">
        <v>2018</v>
      </c>
      <c r="B928" s="9">
        <v>3</v>
      </c>
      <c r="C928" s="17" t="s">
        <v>125</v>
      </c>
      <c r="D928" s="64" t="s">
        <v>59</v>
      </c>
      <c r="E928" s="9">
        <v>1548.7400050000001</v>
      </c>
      <c r="F928" s="9">
        <v>16</v>
      </c>
      <c r="G928" s="9">
        <v>96.8</v>
      </c>
      <c r="H928" s="9">
        <v>3.5</v>
      </c>
      <c r="I928" s="9">
        <v>0</v>
      </c>
      <c r="J928" s="9">
        <v>0</v>
      </c>
      <c r="K928" s="62" t="s">
        <v>44</v>
      </c>
      <c r="L928" s="63" t="str">
        <f t="shared" si="28"/>
        <v>Mar-2018</v>
      </c>
      <c r="M928" s="29">
        <f t="shared" si="29"/>
        <v>43160</v>
      </c>
    </row>
    <row r="929" spans="1:13" ht="21" x14ac:dyDescent="0.35">
      <c r="A929" s="8">
        <v>2018</v>
      </c>
      <c r="B929" s="9">
        <v>3</v>
      </c>
      <c r="C929" s="17" t="s">
        <v>76</v>
      </c>
      <c r="D929" s="64" t="s">
        <v>74</v>
      </c>
      <c r="E929" s="9">
        <v>1252.799994</v>
      </c>
      <c r="F929" s="9">
        <v>12</v>
      </c>
      <c r="G929" s="9">
        <v>104.4</v>
      </c>
      <c r="H929" s="9">
        <v>3.25</v>
      </c>
      <c r="I929" s="9">
        <v>0</v>
      </c>
      <c r="J929" s="9">
        <v>0</v>
      </c>
      <c r="K929" s="62" t="s">
        <v>44</v>
      </c>
      <c r="L929" s="63" t="str">
        <f t="shared" si="28"/>
        <v>Mar-2018</v>
      </c>
      <c r="M929" s="29">
        <f t="shared" si="29"/>
        <v>43160</v>
      </c>
    </row>
    <row r="930" spans="1:13" ht="21" x14ac:dyDescent="0.35">
      <c r="A930" s="8">
        <v>2018</v>
      </c>
      <c r="B930" s="9">
        <v>3</v>
      </c>
      <c r="C930" s="17" t="s">
        <v>77</v>
      </c>
      <c r="D930" s="64" t="s">
        <v>89</v>
      </c>
      <c r="E930" s="9">
        <v>1071.8000030000001</v>
      </c>
      <c r="F930" s="9">
        <v>6</v>
      </c>
      <c r="G930" s="9">
        <v>178.63</v>
      </c>
      <c r="H930" s="9">
        <v>4.1666660000000002</v>
      </c>
      <c r="I930" s="9">
        <v>0</v>
      </c>
      <c r="J930" s="9">
        <v>0</v>
      </c>
      <c r="K930" s="62" t="s">
        <v>44</v>
      </c>
      <c r="L930" s="63" t="str">
        <f t="shared" si="28"/>
        <v>Mar-2018</v>
      </c>
      <c r="M930" s="29">
        <f t="shared" si="29"/>
        <v>43160</v>
      </c>
    </row>
    <row r="931" spans="1:13" ht="21" x14ac:dyDescent="0.35">
      <c r="A931" s="8">
        <v>2018</v>
      </c>
      <c r="B931" s="9">
        <v>3</v>
      </c>
      <c r="C931" s="17" t="s">
        <v>94</v>
      </c>
      <c r="D931" s="64" t="s">
        <v>104</v>
      </c>
      <c r="E931" s="9">
        <v>962.70001600000001</v>
      </c>
      <c r="F931" s="9">
        <v>20</v>
      </c>
      <c r="G931" s="9">
        <v>48.14</v>
      </c>
      <c r="H931" s="9">
        <v>3.9</v>
      </c>
      <c r="I931" s="9">
        <v>0</v>
      </c>
      <c r="J931" s="9">
        <v>0</v>
      </c>
      <c r="K931" s="62" t="s">
        <v>44</v>
      </c>
      <c r="L931" s="63" t="str">
        <f t="shared" si="28"/>
        <v>Mar-2018</v>
      </c>
      <c r="M931" s="29">
        <f t="shared" si="29"/>
        <v>43160</v>
      </c>
    </row>
    <row r="932" spans="1:13" ht="21" x14ac:dyDescent="0.35">
      <c r="A932" s="8">
        <v>2018</v>
      </c>
      <c r="B932" s="9">
        <v>3</v>
      </c>
      <c r="C932" s="17" t="s">
        <v>103</v>
      </c>
      <c r="D932" s="64" t="s">
        <v>110</v>
      </c>
      <c r="E932" s="9">
        <v>931.29999729999997</v>
      </c>
      <c r="F932" s="9">
        <v>8</v>
      </c>
      <c r="G932" s="9">
        <v>116.41</v>
      </c>
      <c r="H932" s="9">
        <v>4.125</v>
      </c>
      <c r="I932" s="9">
        <v>0</v>
      </c>
      <c r="J932" s="9">
        <v>0</v>
      </c>
      <c r="K932" s="62" t="s">
        <v>44</v>
      </c>
      <c r="L932" s="63" t="str">
        <f t="shared" si="28"/>
        <v>Mar-2018</v>
      </c>
      <c r="M932" s="29">
        <f t="shared" si="29"/>
        <v>43160</v>
      </c>
    </row>
    <row r="933" spans="1:13" ht="21" x14ac:dyDescent="0.35">
      <c r="A933" s="8">
        <v>2018</v>
      </c>
      <c r="B933" s="9">
        <v>3</v>
      </c>
      <c r="C933" s="17" t="s">
        <v>109</v>
      </c>
      <c r="D933" s="64" t="s">
        <v>107</v>
      </c>
      <c r="E933" s="9">
        <v>921.90000150000003</v>
      </c>
      <c r="F933" s="9">
        <v>7</v>
      </c>
      <c r="G933" s="9">
        <v>131.69999999999999</v>
      </c>
      <c r="H933" s="9">
        <v>3.8571420000000001</v>
      </c>
      <c r="I933" s="9">
        <v>0</v>
      </c>
      <c r="J933" s="9">
        <v>0</v>
      </c>
      <c r="K933" s="62" t="s">
        <v>44</v>
      </c>
      <c r="L933" s="63" t="str">
        <f t="shared" si="28"/>
        <v>Mar-2018</v>
      </c>
      <c r="M933" s="29">
        <f t="shared" si="29"/>
        <v>43160</v>
      </c>
    </row>
    <row r="934" spans="1:13" ht="21" x14ac:dyDescent="0.35">
      <c r="A934" s="8">
        <v>2018</v>
      </c>
      <c r="B934" s="9">
        <v>3</v>
      </c>
      <c r="C934" s="17" t="s">
        <v>115</v>
      </c>
      <c r="D934" s="64" t="s">
        <v>123</v>
      </c>
      <c r="E934" s="9">
        <v>913.89999580000006</v>
      </c>
      <c r="F934" s="9">
        <v>5</v>
      </c>
      <c r="G934" s="9">
        <v>182.78</v>
      </c>
      <c r="H934" s="9">
        <v>3.6</v>
      </c>
      <c r="I934" s="9">
        <v>0</v>
      </c>
      <c r="J934" s="9">
        <v>0</v>
      </c>
      <c r="K934" s="62" t="s">
        <v>44</v>
      </c>
      <c r="L934" s="63" t="str">
        <f t="shared" si="28"/>
        <v>Mar-2018</v>
      </c>
      <c r="M934" s="29">
        <f t="shared" si="29"/>
        <v>43160</v>
      </c>
    </row>
    <row r="935" spans="1:13" ht="21" x14ac:dyDescent="0.35">
      <c r="A935" s="8">
        <v>2018</v>
      </c>
      <c r="B935" s="9">
        <v>3</v>
      </c>
      <c r="C935" s="17" t="s">
        <v>118</v>
      </c>
      <c r="D935" s="64" t="s">
        <v>68</v>
      </c>
      <c r="E935" s="9">
        <v>913.47001550000004</v>
      </c>
      <c r="F935" s="9">
        <v>17</v>
      </c>
      <c r="G935" s="9">
        <v>53.73</v>
      </c>
      <c r="H935" s="9">
        <v>4.1764700000000001</v>
      </c>
      <c r="I935" s="9">
        <v>0</v>
      </c>
      <c r="J935" s="9">
        <v>0</v>
      </c>
      <c r="K935" s="62" t="s">
        <v>44</v>
      </c>
      <c r="L935" s="63" t="str">
        <f t="shared" si="28"/>
        <v>Mar-2018</v>
      </c>
      <c r="M935" s="29">
        <f t="shared" si="29"/>
        <v>43160</v>
      </c>
    </row>
    <row r="936" spans="1:13" ht="21" x14ac:dyDescent="0.35">
      <c r="A936" s="8">
        <v>2018</v>
      </c>
      <c r="B936" s="9">
        <v>3</v>
      </c>
      <c r="C936" s="17" t="s">
        <v>120</v>
      </c>
      <c r="D936" s="64" t="s">
        <v>113</v>
      </c>
      <c r="E936" s="9">
        <v>854.95000930000003</v>
      </c>
      <c r="F936" s="9">
        <v>12</v>
      </c>
      <c r="G936" s="9">
        <v>71.25</v>
      </c>
      <c r="H936" s="9">
        <v>3</v>
      </c>
      <c r="I936" s="9">
        <v>0</v>
      </c>
      <c r="J936" s="9">
        <v>0</v>
      </c>
      <c r="K936" s="62" t="s">
        <v>44</v>
      </c>
      <c r="L936" s="63" t="str">
        <f t="shared" si="28"/>
        <v>Mar-2018</v>
      </c>
      <c r="M936" s="29">
        <f t="shared" si="29"/>
        <v>43160</v>
      </c>
    </row>
    <row r="937" spans="1:13" ht="21" x14ac:dyDescent="0.35">
      <c r="A937" s="8">
        <v>2018</v>
      </c>
      <c r="B937" s="9">
        <v>3</v>
      </c>
      <c r="C937" s="17" t="s">
        <v>124</v>
      </c>
      <c r="D937" s="64" t="s">
        <v>102</v>
      </c>
      <c r="E937" s="9">
        <v>711.78998950000005</v>
      </c>
      <c r="F937" s="9">
        <v>6</v>
      </c>
      <c r="G937" s="9">
        <v>118.63</v>
      </c>
      <c r="H937" s="9">
        <v>2.5</v>
      </c>
      <c r="I937" s="9">
        <v>0</v>
      </c>
      <c r="J937" s="9">
        <v>0</v>
      </c>
      <c r="K937" s="62" t="s">
        <v>44</v>
      </c>
      <c r="L937" s="63" t="str">
        <f t="shared" si="28"/>
        <v>Mar-2018</v>
      </c>
      <c r="M937" s="29">
        <f t="shared" si="29"/>
        <v>43160</v>
      </c>
    </row>
    <row r="938" spans="1:13" ht="21" x14ac:dyDescent="0.35">
      <c r="A938" s="8">
        <v>2018</v>
      </c>
      <c r="B938" s="9">
        <v>3</v>
      </c>
      <c r="C938" s="17" t="s">
        <v>42</v>
      </c>
      <c r="D938" s="64" t="s">
        <v>105</v>
      </c>
      <c r="E938" s="9">
        <v>461.50000189999997</v>
      </c>
      <c r="F938" s="9">
        <v>7</v>
      </c>
      <c r="G938" s="9">
        <v>65.930000000000007</v>
      </c>
      <c r="H938" s="9">
        <v>3.571428</v>
      </c>
      <c r="I938" s="9">
        <v>0</v>
      </c>
      <c r="J938" s="9">
        <v>0</v>
      </c>
      <c r="K938" s="62" t="s">
        <v>44</v>
      </c>
      <c r="L938" s="63" t="str">
        <f t="shared" si="28"/>
        <v>Mar-2018</v>
      </c>
      <c r="M938" s="29">
        <f t="shared" si="29"/>
        <v>43160</v>
      </c>
    </row>
    <row r="939" spans="1:13" ht="21" x14ac:dyDescent="0.35">
      <c r="A939" s="8">
        <v>2018</v>
      </c>
      <c r="B939" s="9">
        <v>3</v>
      </c>
      <c r="C939" s="17" t="s">
        <v>47</v>
      </c>
      <c r="D939" s="64" t="s">
        <v>112</v>
      </c>
      <c r="E939" s="9">
        <v>440</v>
      </c>
      <c r="F939" s="9">
        <v>4</v>
      </c>
      <c r="G939" s="9">
        <v>110</v>
      </c>
      <c r="H939" s="9">
        <v>3.75</v>
      </c>
      <c r="I939" s="9">
        <v>0</v>
      </c>
      <c r="J939" s="9">
        <v>0</v>
      </c>
      <c r="K939" s="62" t="s">
        <v>44</v>
      </c>
      <c r="L939" s="63" t="str">
        <f t="shared" si="28"/>
        <v>Mar-2018</v>
      </c>
      <c r="M939" s="29">
        <f t="shared" si="29"/>
        <v>43160</v>
      </c>
    </row>
    <row r="940" spans="1:13" ht="21" x14ac:dyDescent="0.35">
      <c r="A940" s="8">
        <v>2018</v>
      </c>
      <c r="B940" s="9">
        <v>3</v>
      </c>
      <c r="C940" s="17" t="s">
        <v>125</v>
      </c>
      <c r="D940" s="64" t="s">
        <v>114</v>
      </c>
      <c r="E940" s="9">
        <v>389</v>
      </c>
      <c r="F940" s="9">
        <v>1</v>
      </c>
      <c r="G940" s="9">
        <v>389</v>
      </c>
      <c r="H940" s="9">
        <v>4</v>
      </c>
      <c r="I940" s="9">
        <v>0</v>
      </c>
      <c r="J940" s="9">
        <v>0</v>
      </c>
      <c r="K940" s="62" t="s">
        <v>44</v>
      </c>
      <c r="L940" s="63" t="str">
        <f t="shared" si="28"/>
        <v>Mar-2018</v>
      </c>
      <c r="M940" s="29">
        <f t="shared" si="29"/>
        <v>43160</v>
      </c>
    </row>
    <row r="941" spans="1:13" ht="21" x14ac:dyDescent="0.35">
      <c r="A941" s="8">
        <v>2018</v>
      </c>
      <c r="B941" s="9">
        <v>3</v>
      </c>
      <c r="C941" s="17" t="s">
        <v>76</v>
      </c>
      <c r="D941" s="64" t="s">
        <v>93</v>
      </c>
      <c r="E941" s="9">
        <v>323.96999929999998</v>
      </c>
      <c r="F941" s="9">
        <v>2</v>
      </c>
      <c r="G941" s="9">
        <v>161.97999999999999</v>
      </c>
      <c r="H941" s="9">
        <v>3</v>
      </c>
      <c r="I941" s="9">
        <v>0</v>
      </c>
      <c r="J941" s="9">
        <v>0</v>
      </c>
      <c r="K941" s="62" t="s">
        <v>44</v>
      </c>
      <c r="L941" s="63" t="str">
        <f t="shared" si="28"/>
        <v>Mar-2018</v>
      </c>
      <c r="M941" s="29">
        <f t="shared" si="29"/>
        <v>43160</v>
      </c>
    </row>
    <row r="942" spans="1:13" ht="21" x14ac:dyDescent="0.35">
      <c r="A942" s="8">
        <v>2018</v>
      </c>
      <c r="B942" s="9">
        <v>3</v>
      </c>
      <c r="C942" s="17" t="s">
        <v>77</v>
      </c>
      <c r="D942" s="64" t="s">
        <v>87</v>
      </c>
      <c r="E942" s="9">
        <v>289.40000529999998</v>
      </c>
      <c r="F942" s="9">
        <v>5</v>
      </c>
      <c r="G942" s="9">
        <v>57.88</v>
      </c>
      <c r="H942" s="9">
        <v>3</v>
      </c>
      <c r="I942" s="9">
        <v>0</v>
      </c>
      <c r="J942" s="9">
        <v>0</v>
      </c>
      <c r="K942" s="62" t="s">
        <v>44</v>
      </c>
      <c r="L942" s="63" t="str">
        <f t="shared" si="28"/>
        <v>Mar-2018</v>
      </c>
      <c r="M942" s="29">
        <f t="shared" si="29"/>
        <v>43160</v>
      </c>
    </row>
    <row r="943" spans="1:13" ht="21" x14ac:dyDescent="0.35">
      <c r="A943" s="8">
        <v>2018</v>
      </c>
      <c r="B943" s="9">
        <v>3</v>
      </c>
      <c r="C943" s="17" t="s">
        <v>94</v>
      </c>
      <c r="D943" s="64" t="s">
        <v>95</v>
      </c>
      <c r="E943" s="9">
        <v>259.2900047</v>
      </c>
      <c r="F943" s="9">
        <v>2</v>
      </c>
      <c r="G943" s="9">
        <v>129.65</v>
      </c>
      <c r="H943" s="9">
        <v>4.5</v>
      </c>
      <c r="I943" s="9">
        <v>0</v>
      </c>
      <c r="J943" s="9">
        <v>0</v>
      </c>
      <c r="K943" s="62" t="s">
        <v>44</v>
      </c>
      <c r="L943" s="63" t="str">
        <f t="shared" si="28"/>
        <v>Mar-2018</v>
      </c>
      <c r="M943" s="29">
        <f t="shared" si="29"/>
        <v>43160</v>
      </c>
    </row>
    <row r="944" spans="1:13" ht="21" x14ac:dyDescent="0.35">
      <c r="A944" s="8">
        <v>2018</v>
      </c>
      <c r="B944" s="9">
        <v>3</v>
      </c>
      <c r="C944" s="17" t="s">
        <v>103</v>
      </c>
      <c r="D944" s="64" t="s">
        <v>101</v>
      </c>
      <c r="E944" s="9">
        <v>259</v>
      </c>
      <c r="F944" s="9">
        <v>2</v>
      </c>
      <c r="G944" s="9">
        <v>129.5</v>
      </c>
      <c r="H944" s="9">
        <v>5</v>
      </c>
      <c r="I944" s="9">
        <v>0</v>
      </c>
      <c r="J944" s="9">
        <v>0</v>
      </c>
      <c r="K944" s="62" t="s">
        <v>44</v>
      </c>
      <c r="L944" s="63" t="str">
        <f t="shared" si="28"/>
        <v>Mar-2018</v>
      </c>
      <c r="M944" s="29">
        <f t="shared" si="29"/>
        <v>43160</v>
      </c>
    </row>
    <row r="945" spans="1:13" ht="21" x14ac:dyDescent="0.35">
      <c r="A945" s="8">
        <v>2018</v>
      </c>
      <c r="B945" s="9">
        <v>3</v>
      </c>
      <c r="C945" s="17" t="s">
        <v>109</v>
      </c>
      <c r="D945" s="64" t="s">
        <v>70</v>
      </c>
      <c r="E945" s="9">
        <v>163</v>
      </c>
      <c r="F945" s="9">
        <v>2</v>
      </c>
      <c r="G945" s="9">
        <v>81.5</v>
      </c>
      <c r="H945" s="9">
        <v>2</v>
      </c>
      <c r="I945" s="9">
        <v>0</v>
      </c>
      <c r="J945" s="9">
        <v>0</v>
      </c>
      <c r="K945" s="62" t="s">
        <v>44</v>
      </c>
      <c r="L945" s="63" t="str">
        <f t="shared" si="28"/>
        <v>Mar-2018</v>
      </c>
      <c r="M945" s="29">
        <f t="shared" si="29"/>
        <v>43160</v>
      </c>
    </row>
    <row r="946" spans="1:13" ht="21" x14ac:dyDescent="0.35">
      <c r="A946" s="8">
        <v>2018</v>
      </c>
      <c r="B946" s="9">
        <v>3</v>
      </c>
      <c r="C946" s="17" t="s">
        <v>115</v>
      </c>
      <c r="D946" s="64" t="s">
        <v>73</v>
      </c>
      <c r="E946" s="9">
        <v>119.9599991</v>
      </c>
      <c r="F946" s="9">
        <v>1</v>
      </c>
      <c r="G946" s="9">
        <v>119.96</v>
      </c>
      <c r="H946" s="9">
        <v>4</v>
      </c>
      <c r="I946" s="9">
        <v>0</v>
      </c>
      <c r="J946" s="9">
        <v>0</v>
      </c>
      <c r="K946" s="62" t="s">
        <v>44</v>
      </c>
      <c r="L946" s="63" t="str">
        <f t="shared" si="28"/>
        <v>Mar-2018</v>
      </c>
      <c r="M946" s="29">
        <f t="shared" si="29"/>
        <v>43160</v>
      </c>
    </row>
    <row r="947" spans="1:13" ht="21" x14ac:dyDescent="0.35">
      <c r="A947" s="8">
        <v>2018</v>
      </c>
      <c r="B947" s="9">
        <v>3</v>
      </c>
      <c r="C947" s="17" t="s">
        <v>118</v>
      </c>
      <c r="D947" s="64" t="s">
        <v>108</v>
      </c>
      <c r="E947" s="9">
        <v>89.900001529999997</v>
      </c>
      <c r="F947" s="9">
        <v>1</v>
      </c>
      <c r="G947" s="9">
        <v>89.9</v>
      </c>
      <c r="H947" s="9">
        <v>5</v>
      </c>
      <c r="I947" s="9">
        <v>0</v>
      </c>
      <c r="J947" s="9">
        <v>0</v>
      </c>
      <c r="K947" s="62" t="s">
        <v>44</v>
      </c>
      <c r="L947" s="63" t="str">
        <f t="shared" si="28"/>
        <v>Mar-2018</v>
      </c>
      <c r="M947" s="29">
        <f t="shared" si="29"/>
        <v>43160</v>
      </c>
    </row>
    <row r="948" spans="1:13" ht="21" x14ac:dyDescent="0.35">
      <c r="A948" s="8">
        <v>2018</v>
      </c>
      <c r="B948" s="9">
        <v>3</v>
      </c>
      <c r="C948" s="17" t="s">
        <v>120</v>
      </c>
      <c r="D948" s="64" t="s">
        <v>126</v>
      </c>
      <c r="E948" s="9">
        <v>89.66999817</v>
      </c>
      <c r="F948" s="9">
        <v>3</v>
      </c>
      <c r="G948" s="9">
        <v>29.89</v>
      </c>
      <c r="H948" s="9">
        <v>5</v>
      </c>
      <c r="I948" s="9">
        <v>0</v>
      </c>
      <c r="J948" s="9">
        <v>0</v>
      </c>
      <c r="K948" s="62" t="s">
        <v>44</v>
      </c>
      <c r="L948" s="63" t="str">
        <f t="shared" si="28"/>
        <v>Mar-2018</v>
      </c>
      <c r="M948" s="29">
        <f t="shared" si="29"/>
        <v>43160</v>
      </c>
    </row>
    <row r="949" spans="1:13" ht="21" x14ac:dyDescent="0.35">
      <c r="A949" s="8">
        <v>2018</v>
      </c>
      <c r="B949" s="9">
        <v>3</v>
      </c>
      <c r="C949" s="17" t="s">
        <v>124</v>
      </c>
      <c r="D949" s="64" t="s">
        <v>116</v>
      </c>
      <c r="E949" s="9">
        <v>79.980003359999998</v>
      </c>
      <c r="F949" s="9">
        <v>2</v>
      </c>
      <c r="G949" s="9">
        <v>39.99</v>
      </c>
      <c r="H949" s="9">
        <v>5</v>
      </c>
      <c r="I949" s="9">
        <v>0</v>
      </c>
      <c r="J949" s="9">
        <v>0</v>
      </c>
      <c r="K949" s="62" t="s">
        <v>44</v>
      </c>
      <c r="L949" s="63" t="str">
        <f t="shared" si="28"/>
        <v>Mar-2018</v>
      </c>
      <c r="M949" s="29">
        <f t="shared" si="29"/>
        <v>43160</v>
      </c>
    </row>
    <row r="950" spans="1:13" ht="21" x14ac:dyDescent="0.35">
      <c r="A950" s="8">
        <v>2018</v>
      </c>
      <c r="B950" s="9">
        <v>3</v>
      </c>
      <c r="C950" s="17" t="s">
        <v>42</v>
      </c>
      <c r="D950" s="64" t="s">
        <v>92</v>
      </c>
      <c r="E950" s="9">
        <v>49.799999239999998</v>
      </c>
      <c r="F950" s="9">
        <v>2</v>
      </c>
      <c r="G950" s="9">
        <v>24.9</v>
      </c>
      <c r="H950" s="9">
        <v>5</v>
      </c>
      <c r="I950" s="9">
        <v>0</v>
      </c>
      <c r="J950" s="9">
        <v>0</v>
      </c>
      <c r="K950" s="62" t="s">
        <v>44</v>
      </c>
      <c r="L950" s="63" t="str">
        <f t="shared" si="28"/>
        <v>Mar-2018</v>
      </c>
      <c r="M950" s="29">
        <f t="shared" si="29"/>
        <v>43160</v>
      </c>
    </row>
    <row r="951" spans="1:13" ht="21" x14ac:dyDescent="0.35">
      <c r="A951" s="8">
        <v>2018</v>
      </c>
      <c r="B951" s="9">
        <v>3</v>
      </c>
      <c r="C951" s="17" t="s">
        <v>47</v>
      </c>
      <c r="D951" s="64" t="s">
        <v>90</v>
      </c>
      <c r="E951" s="9">
        <v>34.990001679999999</v>
      </c>
      <c r="F951" s="9">
        <v>1</v>
      </c>
      <c r="G951" s="9">
        <v>34.99</v>
      </c>
      <c r="H951" s="9">
        <v>5</v>
      </c>
      <c r="I951" s="9">
        <v>0</v>
      </c>
      <c r="J951" s="9">
        <v>0</v>
      </c>
      <c r="K951" s="62" t="s">
        <v>44</v>
      </c>
      <c r="L951" s="63" t="str">
        <f t="shared" si="28"/>
        <v>Mar-2018</v>
      </c>
      <c r="M951" s="29">
        <f t="shared" si="29"/>
        <v>43160</v>
      </c>
    </row>
    <row r="952" spans="1:13" ht="21" x14ac:dyDescent="0.35">
      <c r="A952" s="8">
        <v>2018</v>
      </c>
      <c r="B952" s="9">
        <v>4</v>
      </c>
      <c r="C952" s="17" t="s">
        <v>125</v>
      </c>
      <c r="D952" s="64" t="s">
        <v>51</v>
      </c>
      <c r="E952" s="9">
        <v>92658.569919999994</v>
      </c>
      <c r="F952" s="9">
        <v>473</v>
      </c>
      <c r="G952" s="9">
        <v>195.9</v>
      </c>
      <c r="H952" s="9">
        <v>4.2515989999999997</v>
      </c>
      <c r="I952" s="9">
        <v>0</v>
      </c>
      <c r="J952" s="9">
        <v>0</v>
      </c>
      <c r="K952" s="62" t="s">
        <v>44</v>
      </c>
      <c r="L952" s="63" t="str">
        <f t="shared" si="28"/>
        <v>Apr-2018</v>
      </c>
      <c r="M952" s="29">
        <f t="shared" si="29"/>
        <v>43191</v>
      </c>
    </row>
    <row r="953" spans="1:13" ht="21" x14ac:dyDescent="0.35">
      <c r="A953" s="8">
        <v>2018</v>
      </c>
      <c r="B953" s="9">
        <v>4</v>
      </c>
      <c r="C953" s="17" t="s">
        <v>76</v>
      </c>
      <c r="D953" s="64" t="s">
        <v>43</v>
      </c>
      <c r="E953" s="9">
        <v>91751.039990000005</v>
      </c>
      <c r="F953" s="9">
        <v>626</v>
      </c>
      <c r="G953" s="9">
        <v>146.57</v>
      </c>
      <c r="H953" s="9">
        <v>4.2258060000000004</v>
      </c>
      <c r="I953" s="9">
        <v>0</v>
      </c>
      <c r="J953" s="9">
        <v>0</v>
      </c>
      <c r="K953" s="62" t="s">
        <v>44</v>
      </c>
      <c r="L953" s="63" t="str">
        <f t="shared" si="28"/>
        <v>Apr-2018</v>
      </c>
      <c r="M953" s="29">
        <f t="shared" si="29"/>
        <v>43191</v>
      </c>
    </row>
    <row r="954" spans="1:13" ht="21" x14ac:dyDescent="0.35">
      <c r="A954" s="8">
        <v>2018</v>
      </c>
      <c r="B954" s="9">
        <v>4</v>
      </c>
      <c r="C954" s="17" t="s">
        <v>77</v>
      </c>
      <c r="D954" s="64" t="s">
        <v>66</v>
      </c>
      <c r="E954" s="9">
        <v>72357.249859999996</v>
      </c>
      <c r="F954" s="9">
        <v>608</v>
      </c>
      <c r="G954" s="9">
        <v>119.01</v>
      </c>
      <c r="H954" s="9">
        <v>4.0408330000000001</v>
      </c>
      <c r="I954" s="9">
        <v>1</v>
      </c>
      <c r="J954" s="9">
        <v>0.16</v>
      </c>
      <c r="K954" s="62" t="s">
        <v>44</v>
      </c>
      <c r="L954" s="63" t="str">
        <f t="shared" si="28"/>
        <v>Apr-2018</v>
      </c>
      <c r="M954" s="29">
        <f t="shared" si="29"/>
        <v>43191</v>
      </c>
    </row>
    <row r="955" spans="1:13" ht="21" x14ac:dyDescent="0.35">
      <c r="A955" s="8">
        <v>2018</v>
      </c>
      <c r="B955" s="9">
        <v>4</v>
      </c>
      <c r="C955" s="17" t="s">
        <v>94</v>
      </c>
      <c r="D955" s="64" t="s">
        <v>52</v>
      </c>
      <c r="E955" s="9">
        <v>67528.07978</v>
      </c>
      <c r="F955" s="9">
        <v>532</v>
      </c>
      <c r="G955" s="9">
        <v>126.93</v>
      </c>
      <c r="H955" s="9">
        <v>4.2471690000000004</v>
      </c>
      <c r="I955" s="9">
        <v>2</v>
      </c>
      <c r="J955" s="9">
        <v>0.38</v>
      </c>
      <c r="K955" s="62" t="s">
        <v>44</v>
      </c>
      <c r="L955" s="63" t="str">
        <f t="shared" si="28"/>
        <v>Apr-2018</v>
      </c>
      <c r="M955" s="29">
        <f t="shared" si="29"/>
        <v>43191</v>
      </c>
    </row>
    <row r="956" spans="1:13" ht="21" x14ac:dyDescent="0.35">
      <c r="A956" s="8">
        <v>2018</v>
      </c>
      <c r="B956" s="9">
        <v>4</v>
      </c>
      <c r="C956" s="17" t="s">
        <v>103</v>
      </c>
      <c r="D956" s="64" t="s">
        <v>56</v>
      </c>
      <c r="E956" s="9">
        <v>59651.199780000003</v>
      </c>
      <c r="F956" s="9">
        <v>481</v>
      </c>
      <c r="G956" s="9">
        <v>124.01</v>
      </c>
      <c r="H956" s="9">
        <v>4.0691819999999996</v>
      </c>
      <c r="I956" s="9">
        <v>1</v>
      </c>
      <c r="J956" s="9">
        <v>0.21</v>
      </c>
      <c r="K956" s="62" t="s">
        <v>44</v>
      </c>
      <c r="L956" s="63" t="str">
        <f t="shared" si="28"/>
        <v>Apr-2018</v>
      </c>
      <c r="M956" s="29">
        <f t="shared" si="29"/>
        <v>43191</v>
      </c>
    </row>
    <row r="957" spans="1:13" ht="21" x14ac:dyDescent="0.35">
      <c r="A957" s="8">
        <v>2018</v>
      </c>
      <c r="B957" s="9">
        <v>4</v>
      </c>
      <c r="C957" s="17" t="s">
        <v>109</v>
      </c>
      <c r="D957" s="64" t="s">
        <v>45</v>
      </c>
      <c r="E957" s="9">
        <v>56793.010199999997</v>
      </c>
      <c r="F957" s="9">
        <v>466</v>
      </c>
      <c r="G957" s="9">
        <v>121.87</v>
      </c>
      <c r="H957" s="9">
        <v>4.165591</v>
      </c>
      <c r="I957" s="9">
        <v>1</v>
      </c>
      <c r="J957" s="9">
        <v>0.21</v>
      </c>
      <c r="K957" s="62" t="s">
        <v>44</v>
      </c>
      <c r="L957" s="63" t="str">
        <f t="shared" si="28"/>
        <v>Apr-2018</v>
      </c>
      <c r="M957" s="29">
        <f t="shared" si="29"/>
        <v>43191</v>
      </c>
    </row>
    <row r="958" spans="1:13" ht="21" x14ac:dyDescent="0.35">
      <c r="A958" s="8">
        <v>2018</v>
      </c>
      <c r="B958" s="9">
        <v>4</v>
      </c>
      <c r="C958" s="17" t="s">
        <v>115</v>
      </c>
      <c r="D958" s="64" t="s">
        <v>55</v>
      </c>
      <c r="E958" s="9">
        <v>49821.839899999999</v>
      </c>
      <c r="F958" s="9">
        <v>222</v>
      </c>
      <c r="G958" s="9">
        <v>224.42</v>
      </c>
      <c r="H958" s="9">
        <v>3.9638</v>
      </c>
      <c r="I958" s="9">
        <v>1</v>
      </c>
      <c r="J958" s="9">
        <v>0.45</v>
      </c>
      <c r="K958" s="62" t="s">
        <v>44</v>
      </c>
      <c r="L958" s="63" t="str">
        <f t="shared" si="28"/>
        <v>Apr-2018</v>
      </c>
      <c r="M958" s="29">
        <f t="shared" si="29"/>
        <v>43191</v>
      </c>
    </row>
    <row r="959" spans="1:13" ht="21" x14ac:dyDescent="0.35">
      <c r="A959" s="8">
        <v>2018</v>
      </c>
      <c r="B959" s="9">
        <v>4</v>
      </c>
      <c r="C959" s="17" t="s">
        <v>118</v>
      </c>
      <c r="D959" s="64" t="s">
        <v>53</v>
      </c>
      <c r="E959" s="9">
        <v>49629.190139999999</v>
      </c>
      <c r="F959" s="9">
        <v>336</v>
      </c>
      <c r="G959" s="9">
        <v>147.71</v>
      </c>
      <c r="H959" s="9">
        <v>4.1160709999999998</v>
      </c>
      <c r="I959" s="9">
        <v>1</v>
      </c>
      <c r="J959" s="9">
        <v>0.3</v>
      </c>
      <c r="K959" s="62" t="s">
        <v>44</v>
      </c>
      <c r="L959" s="63" t="str">
        <f t="shared" si="28"/>
        <v>Apr-2018</v>
      </c>
      <c r="M959" s="29">
        <f t="shared" si="29"/>
        <v>43191</v>
      </c>
    </row>
    <row r="960" spans="1:13" ht="21" x14ac:dyDescent="0.35">
      <c r="A960" s="8">
        <v>2018</v>
      </c>
      <c r="B960" s="9">
        <v>4</v>
      </c>
      <c r="C960" s="17" t="s">
        <v>120</v>
      </c>
      <c r="D960" s="64" t="s">
        <v>61</v>
      </c>
      <c r="E960" s="9">
        <v>45405.959909999998</v>
      </c>
      <c r="F960" s="9">
        <v>420</v>
      </c>
      <c r="G960" s="9">
        <v>108.11</v>
      </c>
      <c r="H960" s="9">
        <v>4.100238</v>
      </c>
      <c r="I960" s="9">
        <v>0</v>
      </c>
      <c r="J960" s="9">
        <v>0</v>
      </c>
      <c r="K960" s="62" t="s">
        <v>44</v>
      </c>
      <c r="L960" s="63" t="str">
        <f t="shared" si="28"/>
        <v>Apr-2018</v>
      </c>
      <c r="M960" s="29">
        <f t="shared" si="29"/>
        <v>43191</v>
      </c>
    </row>
    <row r="961" spans="1:13" ht="21" x14ac:dyDescent="0.35">
      <c r="A961" s="8">
        <v>2018</v>
      </c>
      <c r="B961" s="9">
        <v>4</v>
      </c>
      <c r="C961" s="17" t="s">
        <v>124</v>
      </c>
      <c r="D961" s="64" t="s">
        <v>62</v>
      </c>
      <c r="E961" s="9">
        <v>35202.399980000002</v>
      </c>
      <c r="F961" s="9">
        <v>195</v>
      </c>
      <c r="G961" s="9">
        <v>180.53</v>
      </c>
      <c r="H961" s="9">
        <v>4.2486769999999998</v>
      </c>
      <c r="I961" s="9">
        <v>1</v>
      </c>
      <c r="J961" s="9">
        <v>0.51</v>
      </c>
      <c r="K961" s="62" t="s">
        <v>44</v>
      </c>
      <c r="L961" s="63" t="str">
        <f t="shared" si="28"/>
        <v>Apr-2018</v>
      </c>
      <c r="M961" s="29">
        <f t="shared" si="29"/>
        <v>43191</v>
      </c>
    </row>
    <row r="962" spans="1:13" ht="21" x14ac:dyDescent="0.35">
      <c r="A962" s="8">
        <v>2018</v>
      </c>
      <c r="B962" s="9">
        <v>4</v>
      </c>
      <c r="C962" s="17" t="s">
        <v>42</v>
      </c>
      <c r="D962" s="64" t="s">
        <v>57</v>
      </c>
      <c r="E962" s="9">
        <v>35037.640180000002</v>
      </c>
      <c r="F962" s="9">
        <v>238</v>
      </c>
      <c r="G962" s="9">
        <v>147.22</v>
      </c>
      <c r="H962" s="9">
        <v>4.1603370000000002</v>
      </c>
      <c r="I962" s="9">
        <v>0</v>
      </c>
      <c r="J962" s="9">
        <v>0</v>
      </c>
      <c r="K962" s="62" t="s">
        <v>44</v>
      </c>
      <c r="L962" s="63" t="str">
        <f t="shared" ref="L962:L1025" si="30">TEXT(DATE(A962,B962,1),"mmm-yyyy")</f>
        <v>Apr-2018</v>
      </c>
      <c r="M962" s="29">
        <f t="shared" ref="M962:M1025" si="31">DATE(A962,B962,1)</f>
        <v>43191</v>
      </c>
    </row>
    <row r="963" spans="1:13" ht="21" x14ac:dyDescent="0.35">
      <c r="A963" s="8">
        <v>2018</v>
      </c>
      <c r="B963" s="9">
        <v>4</v>
      </c>
      <c r="C963" s="17" t="s">
        <v>47</v>
      </c>
      <c r="D963" s="64" t="s">
        <v>49</v>
      </c>
      <c r="E963" s="9">
        <v>23352.38017</v>
      </c>
      <c r="F963" s="9">
        <v>196</v>
      </c>
      <c r="G963" s="9">
        <v>119.14</v>
      </c>
      <c r="H963" s="9">
        <v>4.2680410000000002</v>
      </c>
      <c r="I963" s="9">
        <v>1</v>
      </c>
      <c r="J963" s="9">
        <v>0.51</v>
      </c>
      <c r="K963" s="62" t="s">
        <v>44</v>
      </c>
      <c r="L963" s="63" t="str">
        <f t="shared" si="30"/>
        <v>Apr-2018</v>
      </c>
      <c r="M963" s="29">
        <f t="shared" si="31"/>
        <v>43191</v>
      </c>
    </row>
    <row r="964" spans="1:13" ht="21" x14ac:dyDescent="0.35">
      <c r="A964" s="8">
        <v>2018</v>
      </c>
      <c r="B964" s="9">
        <v>4</v>
      </c>
      <c r="C964" s="17" t="s">
        <v>125</v>
      </c>
      <c r="D964" s="64" t="s">
        <v>79</v>
      </c>
      <c r="E964" s="9">
        <v>20741.689989999999</v>
      </c>
      <c r="F964" s="9">
        <v>23</v>
      </c>
      <c r="G964" s="9">
        <v>901.81</v>
      </c>
      <c r="H964" s="9">
        <v>4.4782599999999997</v>
      </c>
      <c r="I964" s="9">
        <v>0</v>
      </c>
      <c r="J964" s="9">
        <v>0</v>
      </c>
      <c r="K964" s="62" t="s">
        <v>44</v>
      </c>
      <c r="L964" s="63" t="str">
        <f t="shared" si="30"/>
        <v>Apr-2018</v>
      </c>
      <c r="M964" s="29">
        <f t="shared" si="31"/>
        <v>43191</v>
      </c>
    </row>
    <row r="965" spans="1:13" ht="21" x14ac:dyDescent="0.35">
      <c r="A965" s="8">
        <v>2018</v>
      </c>
      <c r="B965" s="9">
        <v>4</v>
      </c>
      <c r="C965" s="17" t="s">
        <v>76</v>
      </c>
      <c r="D965" s="64" t="s">
        <v>60</v>
      </c>
      <c r="E965" s="9">
        <v>20194.719829999998</v>
      </c>
      <c r="F965" s="9">
        <v>88</v>
      </c>
      <c r="G965" s="9">
        <v>229.49</v>
      </c>
      <c r="H965" s="9">
        <v>3.6839080000000002</v>
      </c>
      <c r="I965" s="9">
        <v>0</v>
      </c>
      <c r="J965" s="9">
        <v>0</v>
      </c>
      <c r="K965" s="62" t="s">
        <v>44</v>
      </c>
      <c r="L965" s="63" t="str">
        <f t="shared" si="30"/>
        <v>Apr-2018</v>
      </c>
      <c r="M965" s="29">
        <f t="shared" si="31"/>
        <v>43191</v>
      </c>
    </row>
    <row r="966" spans="1:13" ht="21" x14ac:dyDescent="0.35">
      <c r="A966" s="8">
        <v>2018</v>
      </c>
      <c r="B966" s="9">
        <v>4</v>
      </c>
      <c r="C966" s="17" t="s">
        <v>77</v>
      </c>
      <c r="D966" s="64" t="s">
        <v>84</v>
      </c>
      <c r="E966" s="9">
        <v>19375.310030000001</v>
      </c>
      <c r="F966" s="9">
        <v>57</v>
      </c>
      <c r="G966" s="9">
        <v>339.92</v>
      </c>
      <c r="H966" s="9">
        <v>4.4035080000000004</v>
      </c>
      <c r="I966" s="9">
        <v>0</v>
      </c>
      <c r="J966" s="9">
        <v>0</v>
      </c>
      <c r="K966" s="62" t="s">
        <v>44</v>
      </c>
      <c r="L966" s="63" t="str">
        <f t="shared" si="30"/>
        <v>Apr-2018</v>
      </c>
      <c r="M966" s="29">
        <f t="shared" si="31"/>
        <v>43191</v>
      </c>
    </row>
    <row r="967" spans="1:13" ht="21" x14ac:dyDescent="0.35">
      <c r="A967" s="8">
        <v>2018</v>
      </c>
      <c r="B967" s="9">
        <v>4</v>
      </c>
      <c r="C967" s="17" t="s">
        <v>94</v>
      </c>
      <c r="D967" s="64" t="s">
        <v>64</v>
      </c>
      <c r="E967" s="9">
        <v>18778.300090000001</v>
      </c>
      <c r="F967" s="9">
        <v>153</v>
      </c>
      <c r="G967" s="9">
        <v>122.73</v>
      </c>
      <c r="H967" s="9">
        <v>4.1710520000000004</v>
      </c>
      <c r="I967" s="9">
        <v>1</v>
      </c>
      <c r="J967" s="9">
        <v>0.65</v>
      </c>
      <c r="K967" s="62" t="s">
        <v>44</v>
      </c>
      <c r="L967" s="63" t="str">
        <f t="shared" si="30"/>
        <v>Apr-2018</v>
      </c>
      <c r="M967" s="29">
        <f t="shared" si="31"/>
        <v>43191</v>
      </c>
    </row>
    <row r="968" spans="1:13" ht="21" x14ac:dyDescent="0.35">
      <c r="A968" s="8">
        <v>2018</v>
      </c>
      <c r="B968" s="9">
        <v>4</v>
      </c>
      <c r="C968" s="17" t="s">
        <v>103</v>
      </c>
      <c r="D968" s="64" t="s">
        <v>48</v>
      </c>
      <c r="E968" s="9">
        <v>17790.309939999999</v>
      </c>
      <c r="F968" s="9">
        <v>160</v>
      </c>
      <c r="G968" s="9">
        <v>111.19</v>
      </c>
      <c r="H968" s="9">
        <v>4.2562499999999996</v>
      </c>
      <c r="I968" s="9">
        <v>0</v>
      </c>
      <c r="J968" s="9">
        <v>0</v>
      </c>
      <c r="K968" s="62" t="s">
        <v>44</v>
      </c>
      <c r="L968" s="63" t="str">
        <f t="shared" si="30"/>
        <v>Apr-2018</v>
      </c>
      <c r="M968" s="29">
        <f t="shared" si="31"/>
        <v>43191</v>
      </c>
    </row>
    <row r="969" spans="1:13" ht="21" x14ac:dyDescent="0.35">
      <c r="A969" s="8">
        <v>2018</v>
      </c>
      <c r="B969" s="9">
        <v>4</v>
      </c>
      <c r="C969" s="17" t="s">
        <v>109</v>
      </c>
      <c r="D969" s="64" t="s">
        <v>46</v>
      </c>
      <c r="E969" s="9">
        <v>16636.84002</v>
      </c>
      <c r="F969" s="9">
        <v>250</v>
      </c>
      <c r="G969" s="9">
        <v>66.55</v>
      </c>
      <c r="H969" s="9">
        <v>3.979838</v>
      </c>
      <c r="I969" s="9">
        <v>0</v>
      </c>
      <c r="J969" s="9">
        <v>0</v>
      </c>
      <c r="K969" s="62" t="s">
        <v>44</v>
      </c>
      <c r="L969" s="63" t="str">
        <f t="shared" si="30"/>
        <v>Apr-2018</v>
      </c>
      <c r="M969" s="29">
        <f t="shared" si="31"/>
        <v>43191</v>
      </c>
    </row>
    <row r="970" spans="1:13" ht="21" x14ac:dyDescent="0.35">
      <c r="A970" s="8">
        <v>2018</v>
      </c>
      <c r="B970" s="9">
        <v>4</v>
      </c>
      <c r="C970" s="17" t="s">
        <v>115</v>
      </c>
      <c r="D970" s="64" t="s">
        <v>96</v>
      </c>
      <c r="E970" s="9">
        <v>15124.24999</v>
      </c>
      <c r="F970" s="9">
        <v>106</v>
      </c>
      <c r="G970" s="9">
        <v>142.68</v>
      </c>
      <c r="H970" s="9">
        <v>4.1179240000000004</v>
      </c>
      <c r="I970" s="9">
        <v>0</v>
      </c>
      <c r="J970" s="9">
        <v>0</v>
      </c>
      <c r="K970" s="62" t="s">
        <v>44</v>
      </c>
      <c r="L970" s="63" t="str">
        <f t="shared" si="30"/>
        <v>Apr-2018</v>
      </c>
      <c r="M970" s="29">
        <f t="shared" si="31"/>
        <v>43191</v>
      </c>
    </row>
    <row r="971" spans="1:13" ht="21" x14ac:dyDescent="0.35">
      <c r="A971" s="8">
        <v>2018</v>
      </c>
      <c r="B971" s="9">
        <v>4</v>
      </c>
      <c r="C971" s="17" t="s">
        <v>118</v>
      </c>
      <c r="D971" s="64" t="s">
        <v>119</v>
      </c>
      <c r="E971" s="9">
        <v>13980.980009999999</v>
      </c>
      <c r="F971" s="9">
        <v>15</v>
      </c>
      <c r="G971" s="9">
        <v>932.07</v>
      </c>
      <c r="H971" s="9">
        <v>4.0666659999999997</v>
      </c>
      <c r="I971" s="9">
        <v>0</v>
      </c>
      <c r="J971" s="9">
        <v>0</v>
      </c>
      <c r="K971" s="62" t="s">
        <v>44</v>
      </c>
      <c r="L971" s="63" t="str">
        <f t="shared" si="30"/>
        <v>Apr-2018</v>
      </c>
      <c r="M971" s="29">
        <f t="shared" si="31"/>
        <v>43191</v>
      </c>
    </row>
    <row r="972" spans="1:13" ht="21" x14ac:dyDescent="0.35">
      <c r="A972" s="8">
        <v>2018</v>
      </c>
      <c r="B972" s="9">
        <v>4</v>
      </c>
      <c r="C972" s="17" t="s">
        <v>120</v>
      </c>
      <c r="D972" s="64" t="s">
        <v>78</v>
      </c>
      <c r="E972" s="9">
        <v>13774.91992</v>
      </c>
      <c r="F972" s="9">
        <v>13</v>
      </c>
      <c r="G972" s="9">
        <v>1059.6099999999999</v>
      </c>
      <c r="H972" s="9">
        <v>4.3076920000000003</v>
      </c>
      <c r="I972" s="9">
        <v>0</v>
      </c>
      <c r="J972" s="9">
        <v>0</v>
      </c>
      <c r="K972" s="62" t="s">
        <v>44</v>
      </c>
      <c r="L972" s="63" t="str">
        <f t="shared" si="30"/>
        <v>Apr-2018</v>
      </c>
      <c r="M972" s="29">
        <f t="shared" si="31"/>
        <v>43191</v>
      </c>
    </row>
    <row r="973" spans="1:13" ht="21" x14ac:dyDescent="0.35">
      <c r="A973" s="8">
        <v>2018</v>
      </c>
      <c r="B973" s="9">
        <v>4</v>
      </c>
      <c r="C973" s="17" t="s">
        <v>124</v>
      </c>
      <c r="D973" s="64" t="s">
        <v>85</v>
      </c>
      <c r="E973" s="9">
        <v>13293.829970000001</v>
      </c>
      <c r="F973" s="9">
        <v>78</v>
      </c>
      <c r="G973" s="9">
        <v>170.43</v>
      </c>
      <c r="H973" s="9">
        <v>4.0259739999999997</v>
      </c>
      <c r="I973" s="9">
        <v>0</v>
      </c>
      <c r="J973" s="9">
        <v>0</v>
      </c>
      <c r="K973" s="62" t="s">
        <v>44</v>
      </c>
      <c r="L973" s="63" t="str">
        <f t="shared" si="30"/>
        <v>Apr-2018</v>
      </c>
      <c r="M973" s="29">
        <f t="shared" si="31"/>
        <v>43191</v>
      </c>
    </row>
    <row r="974" spans="1:13" ht="21" x14ac:dyDescent="0.35">
      <c r="A974" s="8">
        <v>2018</v>
      </c>
      <c r="B974" s="9">
        <v>4</v>
      </c>
      <c r="C974" s="17" t="s">
        <v>42</v>
      </c>
      <c r="D974" s="64" t="s">
        <v>80</v>
      </c>
      <c r="E974" s="9">
        <v>12211.409949999999</v>
      </c>
      <c r="F974" s="9">
        <v>61</v>
      </c>
      <c r="G974" s="9">
        <v>200.19</v>
      </c>
      <c r="H974" s="9">
        <v>4.4098360000000003</v>
      </c>
      <c r="I974" s="9">
        <v>1</v>
      </c>
      <c r="J974" s="9">
        <v>1.64</v>
      </c>
      <c r="K974" s="62" t="s">
        <v>44</v>
      </c>
      <c r="L974" s="63" t="str">
        <f t="shared" si="30"/>
        <v>Apr-2018</v>
      </c>
      <c r="M974" s="29">
        <f t="shared" si="31"/>
        <v>43191</v>
      </c>
    </row>
    <row r="975" spans="1:13" ht="21" x14ac:dyDescent="0.35">
      <c r="A975" s="8">
        <v>2018</v>
      </c>
      <c r="B975" s="9">
        <v>4</v>
      </c>
      <c r="C975" s="17" t="s">
        <v>47</v>
      </c>
      <c r="D975" s="64" t="s">
        <v>81</v>
      </c>
      <c r="E975" s="9">
        <v>11701.35003</v>
      </c>
      <c r="F975" s="9">
        <v>131</v>
      </c>
      <c r="G975" s="9">
        <v>89.32</v>
      </c>
      <c r="H975" s="9">
        <v>4.3643409999999996</v>
      </c>
      <c r="I975" s="9">
        <v>0</v>
      </c>
      <c r="J975" s="9">
        <v>0</v>
      </c>
      <c r="K975" s="62" t="s">
        <v>44</v>
      </c>
      <c r="L975" s="63" t="str">
        <f t="shared" si="30"/>
        <v>Apr-2018</v>
      </c>
      <c r="M975" s="29">
        <f t="shared" si="31"/>
        <v>43191</v>
      </c>
    </row>
    <row r="976" spans="1:13" ht="21" x14ac:dyDescent="0.35">
      <c r="A976" s="8">
        <v>2018</v>
      </c>
      <c r="B976" s="9">
        <v>4</v>
      </c>
      <c r="C976" s="17" t="s">
        <v>125</v>
      </c>
      <c r="D976" s="64" t="s">
        <v>58</v>
      </c>
      <c r="E976" s="9">
        <v>11022.42992</v>
      </c>
      <c r="F976" s="9">
        <v>203</v>
      </c>
      <c r="G976" s="9">
        <v>54.3</v>
      </c>
      <c r="H976" s="9">
        <v>4.0742570000000002</v>
      </c>
      <c r="I976" s="9">
        <v>0</v>
      </c>
      <c r="J976" s="9">
        <v>0</v>
      </c>
      <c r="K976" s="62" t="s">
        <v>44</v>
      </c>
      <c r="L976" s="63" t="str">
        <f t="shared" si="30"/>
        <v>Apr-2018</v>
      </c>
      <c r="M976" s="29">
        <f t="shared" si="31"/>
        <v>43191</v>
      </c>
    </row>
    <row r="977" spans="1:13" ht="21" x14ac:dyDescent="0.35">
      <c r="A977" s="8">
        <v>2018</v>
      </c>
      <c r="B977" s="9">
        <v>4</v>
      </c>
      <c r="C977" s="17" t="s">
        <v>76</v>
      </c>
      <c r="D977" s="64" t="s">
        <v>97</v>
      </c>
      <c r="E977" s="9">
        <v>9318.4999769999995</v>
      </c>
      <c r="F977" s="9">
        <v>59</v>
      </c>
      <c r="G977" s="9">
        <v>157.94</v>
      </c>
      <c r="H977" s="9">
        <v>3.8644059999999998</v>
      </c>
      <c r="I977" s="9">
        <v>0</v>
      </c>
      <c r="J977" s="9">
        <v>0</v>
      </c>
      <c r="K977" s="62" t="s">
        <v>44</v>
      </c>
      <c r="L977" s="63" t="str">
        <f t="shared" si="30"/>
        <v>Apr-2018</v>
      </c>
      <c r="M977" s="29">
        <f t="shared" si="31"/>
        <v>43191</v>
      </c>
    </row>
    <row r="978" spans="1:13" ht="21" x14ac:dyDescent="0.35">
      <c r="A978" s="8">
        <v>2018</v>
      </c>
      <c r="B978" s="9">
        <v>4</v>
      </c>
      <c r="C978" s="17" t="s">
        <v>77</v>
      </c>
      <c r="D978" s="64" t="s">
        <v>65</v>
      </c>
      <c r="E978" s="9">
        <v>9030.8500230000009</v>
      </c>
      <c r="F978" s="9">
        <v>96</v>
      </c>
      <c r="G978" s="9">
        <v>94.07</v>
      </c>
      <c r="H978" s="9">
        <v>4.3510629999999999</v>
      </c>
      <c r="I978" s="9">
        <v>1</v>
      </c>
      <c r="J978" s="9">
        <v>1.04</v>
      </c>
      <c r="K978" s="62" t="s">
        <v>44</v>
      </c>
      <c r="L978" s="63" t="str">
        <f t="shared" si="30"/>
        <v>Apr-2018</v>
      </c>
      <c r="M978" s="29">
        <f t="shared" si="31"/>
        <v>43191</v>
      </c>
    </row>
    <row r="979" spans="1:13" ht="21" x14ac:dyDescent="0.35">
      <c r="A979" s="8">
        <v>2018</v>
      </c>
      <c r="B979" s="9">
        <v>4</v>
      </c>
      <c r="C979" s="17" t="s">
        <v>94</v>
      </c>
      <c r="D979" s="64" t="s">
        <v>83</v>
      </c>
      <c r="E979" s="9">
        <v>8680.4799270000003</v>
      </c>
      <c r="F979" s="9">
        <v>53</v>
      </c>
      <c r="G979" s="9">
        <v>163.78</v>
      </c>
      <c r="H979" s="9">
        <v>4.4905660000000003</v>
      </c>
      <c r="I979" s="9">
        <v>0</v>
      </c>
      <c r="J979" s="9">
        <v>0</v>
      </c>
      <c r="K979" s="62" t="s">
        <v>44</v>
      </c>
      <c r="L979" s="63" t="str">
        <f t="shared" si="30"/>
        <v>Apr-2018</v>
      </c>
      <c r="M979" s="29">
        <f t="shared" si="31"/>
        <v>43191</v>
      </c>
    </row>
    <row r="980" spans="1:13" ht="21" x14ac:dyDescent="0.35">
      <c r="A980" s="8">
        <v>2018</v>
      </c>
      <c r="B980" s="9">
        <v>4</v>
      </c>
      <c r="C980" s="17" t="s">
        <v>103</v>
      </c>
      <c r="D980" s="64" t="s">
        <v>0</v>
      </c>
      <c r="E980" s="9">
        <v>8240.6600240000007</v>
      </c>
      <c r="F980" s="9">
        <v>74</v>
      </c>
      <c r="G980" s="9">
        <v>111.36</v>
      </c>
      <c r="H980" s="9" t="s">
        <v>0</v>
      </c>
      <c r="I980" s="9" t="s">
        <v>0</v>
      </c>
      <c r="J980" s="9" t="s">
        <v>0</v>
      </c>
      <c r="K980" s="62" t="s">
        <v>44</v>
      </c>
      <c r="L980" s="63" t="str">
        <f t="shared" si="30"/>
        <v>Apr-2018</v>
      </c>
      <c r="M980" s="29">
        <f t="shared" si="31"/>
        <v>43191</v>
      </c>
    </row>
    <row r="981" spans="1:13" ht="21" x14ac:dyDescent="0.35">
      <c r="A981" s="8">
        <v>2018</v>
      </c>
      <c r="B981" s="9">
        <v>4</v>
      </c>
      <c r="C981" s="17" t="s">
        <v>109</v>
      </c>
      <c r="D981" s="64" t="s">
        <v>50</v>
      </c>
      <c r="E981" s="9">
        <v>7239.4000079999996</v>
      </c>
      <c r="F981" s="9">
        <v>43</v>
      </c>
      <c r="G981" s="9">
        <v>168.36</v>
      </c>
      <c r="H981" s="9">
        <v>3.809523</v>
      </c>
      <c r="I981" s="9">
        <v>3</v>
      </c>
      <c r="J981" s="9">
        <v>6.98</v>
      </c>
      <c r="K981" s="62" t="s">
        <v>44</v>
      </c>
      <c r="L981" s="63" t="str">
        <f t="shared" si="30"/>
        <v>Apr-2018</v>
      </c>
      <c r="M981" s="29">
        <f t="shared" si="31"/>
        <v>43191</v>
      </c>
    </row>
    <row r="982" spans="1:13" ht="21" x14ac:dyDescent="0.35">
      <c r="A982" s="8">
        <v>2018</v>
      </c>
      <c r="B982" s="9">
        <v>4</v>
      </c>
      <c r="C982" s="17" t="s">
        <v>115</v>
      </c>
      <c r="D982" s="64" t="s">
        <v>69</v>
      </c>
      <c r="E982" s="9">
        <v>7045.0698849999999</v>
      </c>
      <c r="F982" s="9">
        <v>30</v>
      </c>
      <c r="G982" s="9">
        <v>234.84</v>
      </c>
      <c r="H982" s="9">
        <v>4.0666659999999997</v>
      </c>
      <c r="I982" s="9">
        <v>0</v>
      </c>
      <c r="J982" s="9">
        <v>0</v>
      </c>
      <c r="K982" s="62" t="s">
        <v>44</v>
      </c>
      <c r="L982" s="63" t="str">
        <f t="shared" si="30"/>
        <v>Apr-2018</v>
      </c>
      <c r="M982" s="29">
        <f t="shared" si="31"/>
        <v>43191</v>
      </c>
    </row>
    <row r="983" spans="1:13" ht="21" x14ac:dyDescent="0.35">
      <c r="A983" s="8">
        <v>2018</v>
      </c>
      <c r="B983" s="9">
        <v>4</v>
      </c>
      <c r="C983" s="17" t="s">
        <v>118</v>
      </c>
      <c r="D983" s="64" t="s">
        <v>71</v>
      </c>
      <c r="E983" s="9">
        <v>6295.5101130000003</v>
      </c>
      <c r="F983" s="9">
        <v>43</v>
      </c>
      <c r="G983" s="9">
        <v>146.41</v>
      </c>
      <c r="H983" s="9">
        <v>4.3953480000000003</v>
      </c>
      <c r="I983" s="9">
        <v>0</v>
      </c>
      <c r="J983" s="9">
        <v>0</v>
      </c>
      <c r="K983" s="62" t="s">
        <v>44</v>
      </c>
      <c r="L983" s="63" t="str">
        <f t="shared" si="30"/>
        <v>Apr-2018</v>
      </c>
      <c r="M983" s="29">
        <f t="shared" si="31"/>
        <v>43191</v>
      </c>
    </row>
    <row r="984" spans="1:13" ht="21" x14ac:dyDescent="0.35">
      <c r="A984" s="8">
        <v>2018</v>
      </c>
      <c r="B984" s="9">
        <v>4</v>
      </c>
      <c r="C984" s="17" t="s">
        <v>120</v>
      </c>
      <c r="D984" s="64" t="s">
        <v>67</v>
      </c>
      <c r="E984" s="9">
        <v>5690.610001</v>
      </c>
      <c r="F984" s="9">
        <v>48</v>
      </c>
      <c r="G984" s="9">
        <v>118.55</v>
      </c>
      <c r="H984" s="9">
        <v>4.2916660000000002</v>
      </c>
      <c r="I984" s="9">
        <v>0</v>
      </c>
      <c r="J984" s="9">
        <v>0</v>
      </c>
      <c r="K984" s="62" t="s">
        <v>44</v>
      </c>
      <c r="L984" s="63" t="str">
        <f t="shared" si="30"/>
        <v>Apr-2018</v>
      </c>
      <c r="M984" s="29">
        <f t="shared" si="31"/>
        <v>43191</v>
      </c>
    </row>
    <row r="985" spans="1:13" ht="21" x14ac:dyDescent="0.35">
      <c r="A985" s="8">
        <v>2018</v>
      </c>
      <c r="B985" s="9">
        <v>4</v>
      </c>
      <c r="C985" s="17" t="s">
        <v>124</v>
      </c>
      <c r="D985" s="64" t="s">
        <v>82</v>
      </c>
      <c r="E985" s="9">
        <v>5133.729961</v>
      </c>
      <c r="F985" s="9">
        <v>25</v>
      </c>
      <c r="G985" s="9">
        <v>205.35</v>
      </c>
      <c r="H985" s="9">
        <v>2.92</v>
      </c>
      <c r="I985" s="9">
        <v>0</v>
      </c>
      <c r="J985" s="9">
        <v>0</v>
      </c>
      <c r="K985" s="62" t="s">
        <v>44</v>
      </c>
      <c r="L985" s="63" t="str">
        <f t="shared" si="30"/>
        <v>Apr-2018</v>
      </c>
      <c r="M985" s="29">
        <f t="shared" si="31"/>
        <v>43191</v>
      </c>
    </row>
    <row r="986" spans="1:13" ht="21" x14ac:dyDescent="0.35">
      <c r="A986" s="8">
        <v>2018</v>
      </c>
      <c r="B986" s="9">
        <v>4</v>
      </c>
      <c r="C986" s="17" t="s">
        <v>42</v>
      </c>
      <c r="D986" s="64" t="s">
        <v>104</v>
      </c>
      <c r="E986" s="9">
        <v>5016.4399030000004</v>
      </c>
      <c r="F986" s="9">
        <v>29</v>
      </c>
      <c r="G986" s="9">
        <v>172.98</v>
      </c>
      <c r="H986" s="9">
        <v>4.3793100000000003</v>
      </c>
      <c r="I986" s="9">
        <v>0</v>
      </c>
      <c r="J986" s="9">
        <v>0</v>
      </c>
      <c r="K986" s="62" t="s">
        <v>44</v>
      </c>
      <c r="L986" s="63" t="str">
        <f t="shared" si="30"/>
        <v>Apr-2018</v>
      </c>
      <c r="M986" s="29">
        <f t="shared" si="31"/>
        <v>43191</v>
      </c>
    </row>
    <row r="987" spans="1:13" ht="21" x14ac:dyDescent="0.35">
      <c r="A987" s="8">
        <v>2018</v>
      </c>
      <c r="B987" s="9">
        <v>4</v>
      </c>
      <c r="C987" s="17" t="s">
        <v>47</v>
      </c>
      <c r="D987" s="64" t="s">
        <v>121</v>
      </c>
      <c r="E987" s="9">
        <v>4962.6700099999998</v>
      </c>
      <c r="F987" s="9">
        <v>37</v>
      </c>
      <c r="G987" s="9">
        <v>134.13</v>
      </c>
      <c r="H987" s="9">
        <v>3.914285</v>
      </c>
      <c r="I987" s="9">
        <v>0</v>
      </c>
      <c r="J987" s="9">
        <v>0</v>
      </c>
      <c r="K987" s="62" t="s">
        <v>44</v>
      </c>
      <c r="L987" s="63" t="str">
        <f t="shared" si="30"/>
        <v>Apr-2018</v>
      </c>
      <c r="M987" s="29">
        <f t="shared" si="31"/>
        <v>43191</v>
      </c>
    </row>
    <row r="988" spans="1:13" ht="21" x14ac:dyDescent="0.35">
      <c r="A988" s="8">
        <v>2018</v>
      </c>
      <c r="B988" s="9">
        <v>4</v>
      </c>
      <c r="C988" s="17" t="s">
        <v>125</v>
      </c>
      <c r="D988" s="64" t="s">
        <v>91</v>
      </c>
      <c r="E988" s="9">
        <v>4500.7000500000004</v>
      </c>
      <c r="F988" s="9">
        <v>12</v>
      </c>
      <c r="G988" s="9">
        <v>375.06</v>
      </c>
      <c r="H988" s="9">
        <v>4</v>
      </c>
      <c r="I988" s="9">
        <v>0</v>
      </c>
      <c r="J988" s="9">
        <v>0</v>
      </c>
      <c r="K988" s="62" t="s">
        <v>44</v>
      </c>
      <c r="L988" s="63" t="str">
        <f t="shared" si="30"/>
        <v>Apr-2018</v>
      </c>
      <c r="M988" s="29">
        <f t="shared" si="31"/>
        <v>43191</v>
      </c>
    </row>
    <row r="989" spans="1:13" ht="21" x14ac:dyDescent="0.35">
      <c r="A989" s="8">
        <v>2018</v>
      </c>
      <c r="B989" s="9">
        <v>4</v>
      </c>
      <c r="C989" s="17" t="s">
        <v>76</v>
      </c>
      <c r="D989" s="64" t="s">
        <v>54</v>
      </c>
      <c r="E989" s="9">
        <v>3261.789976</v>
      </c>
      <c r="F989" s="9">
        <v>22</v>
      </c>
      <c r="G989" s="9">
        <v>148.26</v>
      </c>
      <c r="H989" s="9">
        <v>4.571428</v>
      </c>
      <c r="I989" s="9">
        <v>0</v>
      </c>
      <c r="J989" s="9">
        <v>0</v>
      </c>
      <c r="K989" s="62" t="s">
        <v>44</v>
      </c>
      <c r="L989" s="63" t="str">
        <f t="shared" si="30"/>
        <v>Apr-2018</v>
      </c>
      <c r="M989" s="29">
        <f t="shared" si="31"/>
        <v>43191</v>
      </c>
    </row>
    <row r="990" spans="1:13" ht="21" x14ac:dyDescent="0.35">
      <c r="A990" s="8">
        <v>2018</v>
      </c>
      <c r="B990" s="9">
        <v>4</v>
      </c>
      <c r="C990" s="17" t="s">
        <v>77</v>
      </c>
      <c r="D990" s="64" t="s">
        <v>88</v>
      </c>
      <c r="E990" s="9">
        <v>3165.469975</v>
      </c>
      <c r="F990" s="9">
        <v>19</v>
      </c>
      <c r="G990" s="9">
        <v>166.6</v>
      </c>
      <c r="H990" s="9">
        <v>4.1666660000000002</v>
      </c>
      <c r="I990" s="9">
        <v>0</v>
      </c>
      <c r="J990" s="9">
        <v>0</v>
      </c>
      <c r="K990" s="62" t="s">
        <v>44</v>
      </c>
      <c r="L990" s="63" t="str">
        <f t="shared" si="30"/>
        <v>Apr-2018</v>
      </c>
      <c r="M990" s="29">
        <f t="shared" si="31"/>
        <v>43191</v>
      </c>
    </row>
    <row r="991" spans="1:13" ht="21" x14ac:dyDescent="0.35">
      <c r="A991" s="8">
        <v>2018</v>
      </c>
      <c r="B991" s="9">
        <v>4</v>
      </c>
      <c r="C991" s="17" t="s">
        <v>94</v>
      </c>
      <c r="D991" s="64" t="s">
        <v>100</v>
      </c>
      <c r="E991" s="9">
        <v>2887.26001</v>
      </c>
      <c r="F991" s="9">
        <v>23</v>
      </c>
      <c r="G991" s="9">
        <v>125.53</v>
      </c>
      <c r="H991" s="9">
        <v>4.0454540000000003</v>
      </c>
      <c r="I991" s="9">
        <v>0</v>
      </c>
      <c r="J991" s="9">
        <v>0</v>
      </c>
      <c r="K991" s="62" t="s">
        <v>44</v>
      </c>
      <c r="L991" s="63" t="str">
        <f t="shared" si="30"/>
        <v>Apr-2018</v>
      </c>
      <c r="M991" s="29">
        <f t="shared" si="31"/>
        <v>43191</v>
      </c>
    </row>
    <row r="992" spans="1:13" ht="21" x14ac:dyDescent="0.35">
      <c r="A992" s="8">
        <v>2018</v>
      </c>
      <c r="B992" s="9">
        <v>4</v>
      </c>
      <c r="C992" s="17" t="s">
        <v>103</v>
      </c>
      <c r="D992" s="64" t="s">
        <v>107</v>
      </c>
      <c r="E992" s="9">
        <v>2222.300013</v>
      </c>
      <c r="F992" s="9">
        <v>22</v>
      </c>
      <c r="G992" s="9">
        <v>101.01</v>
      </c>
      <c r="H992" s="9">
        <v>4.0909089999999999</v>
      </c>
      <c r="I992" s="9">
        <v>0</v>
      </c>
      <c r="J992" s="9">
        <v>0</v>
      </c>
      <c r="K992" s="62" t="s">
        <v>44</v>
      </c>
      <c r="L992" s="63" t="str">
        <f t="shared" si="30"/>
        <v>Apr-2018</v>
      </c>
      <c r="M992" s="29">
        <f t="shared" si="31"/>
        <v>43191</v>
      </c>
    </row>
    <row r="993" spans="1:13" ht="21" x14ac:dyDescent="0.35">
      <c r="A993" s="8">
        <v>2018</v>
      </c>
      <c r="B993" s="9">
        <v>4</v>
      </c>
      <c r="C993" s="17" t="s">
        <v>109</v>
      </c>
      <c r="D993" s="64" t="s">
        <v>105</v>
      </c>
      <c r="E993" s="9">
        <v>2140.2799799999998</v>
      </c>
      <c r="F993" s="9">
        <v>26</v>
      </c>
      <c r="G993" s="9">
        <v>82.32</v>
      </c>
      <c r="H993" s="9">
        <v>4.5</v>
      </c>
      <c r="I993" s="9">
        <v>0</v>
      </c>
      <c r="J993" s="9">
        <v>0</v>
      </c>
      <c r="K993" s="62" t="s">
        <v>44</v>
      </c>
      <c r="L993" s="63" t="str">
        <f t="shared" si="30"/>
        <v>Apr-2018</v>
      </c>
      <c r="M993" s="29">
        <f t="shared" si="31"/>
        <v>43191</v>
      </c>
    </row>
    <row r="994" spans="1:13" ht="21" x14ac:dyDescent="0.35">
      <c r="A994" s="8">
        <v>2018</v>
      </c>
      <c r="B994" s="9">
        <v>4</v>
      </c>
      <c r="C994" s="17" t="s">
        <v>115</v>
      </c>
      <c r="D994" s="64" t="s">
        <v>99</v>
      </c>
      <c r="E994" s="9">
        <v>1939.4000209999999</v>
      </c>
      <c r="F994" s="9">
        <v>15</v>
      </c>
      <c r="G994" s="9">
        <v>129.29</v>
      </c>
      <c r="H994" s="9">
        <v>3.9333330000000002</v>
      </c>
      <c r="I994" s="9">
        <v>0</v>
      </c>
      <c r="J994" s="9">
        <v>0</v>
      </c>
      <c r="K994" s="62" t="s">
        <v>44</v>
      </c>
      <c r="L994" s="63" t="str">
        <f t="shared" si="30"/>
        <v>Apr-2018</v>
      </c>
      <c r="M994" s="29">
        <f t="shared" si="31"/>
        <v>43191</v>
      </c>
    </row>
    <row r="995" spans="1:13" ht="21" x14ac:dyDescent="0.35">
      <c r="A995" s="8">
        <v>2018</v>
      </c>
      <c r="B995" s="9">
        <v>4</v>
      </c>
      <c r="C995" s="17" t="s">
        <v>118</v>
      </c>
      <c r="D995" s="64" t="s">
        <v>63</v>
      </c>
      <c r="E995" s="9">
        <v>1921.939991</v>
      </c>
      <c r="F995" s="9">
        <v>10</v>
      </c>
      <c r="G995" s="9">
        <v>192.19</v>
      </c>
      <c r="H995" s="9">
        <v>3.4</v>
      </c>
      <c r="I995" s="9">
        <v>0</v>
      </c>
      <c r="J995" s="9">
        <v>0</v>
      </c>
      <c r="K995" s="62" t="s">
        <v>44</v>
      </c>
      <c r="L995" s="63" t="str">
        <f t="shared" si="30"/>
        <v>Apr-2018</v>
      </c>
      <c r="M995" s="29">
        <f t="shared" si="31"/>
        <v>43191</v>
      </c>
    </row>
    <row r="996" spans="1:13" ht="21" x14ac:dyDescent="0.35">
      <c r="A996" s="8">
        <v>2018</v>
      </c>
      <c r="B996" s="9">
        <v>4</v>
      </c>
      <c r="C996" s="17" t="s">
        <v>120</v>
      </c>
      <c r="D996" s="64" t="s">
        <v>93</v>
      </c>
      <c r="E996" s="9">
        <v>1696.859964</v>
      </c>
      <c r="F996" s="9">
        <v>5</v>
      </c>
      <c r="G996" s="9">
        <v>339.37</v>
      </c>
      <c r="H996" s="9">
        <v>4</v>
      </c>
      <c r="I996" s="9">
        <v>0</v>
      </c>
      <c r="J996" s="9">
        <v>0</v>
      </c>
      <c r="K996" s="62" t="s">
        <v>44</v>
      </c>
      <c r="L996" s="63" t="str">
        <f t="shared" si="30"/>
        <v>Apr-2018</v>
      </c>
      <c r="M996" s="29">
        <f t="shared" si="31"/>
        <v>43191</v>
      </c>
    </row>
    <row r="997" spans="1:13" ht="21" x14ac:dyDescent="0.35">
      <c r="A997" s="8">
        <v>2018</v>
      </c>
      <c r="B997" s="9">
        <v>4</v>
      </c>
      <c r="C997" s="17" t="s">
        <v>124</v>
      </c>
      <c r="D997" s="64" t="s">
        <v>72</v>
      </c>
      <c r="E997" s="9">
        <v>1665.430014</v>
      </c>
      <c r="F997" s="9">
        <v>36</v>
      </c>
      <c r="G997" s="9">
        <v>46.26</v>
      </c>
      <c r="H997" s="9">
        <v>4.4000000000000004</v>
      </c>
      <c r="I997" s="9">
        <v>0</v>
      </c>
      <c r="J997" s="9">
        <v>0</v>
      </c>
      <c r="K997" s="62" t="s">
        <v>44</v>
      </c>
      <c r="L997" s="63" t="str">
        <f t="shared" si="30"/>
        <v>Apr-2018</v>
      </c>
      <c r="M997" s="29">
        <f t="shared" si="31"/>
        <v>43191</v>
      </c>
    </row>
    <row r="998" spans="1:13" ht="21" x14ac:dyDescent="0.35">
      <c r="A998" s="8">
        <v>2018</v>
      </c>
      <c r="B998" s="9">
        <v>4</v>
      </c>
      <c r="C998" s="17" t="s">
        <v>42</v>
      </c>
      <c r="D998" s="64" t="s">
        <v>89</v>
      </c>
      <c r="E998" s="9">
        <v>1470.9000020000001</v>
      </c>
      <c r="F998" s="9">
        <v>7</v>
      </c>
      <c r="G998" s="9">
        <v>210.13</v>
      </c>
      <c r="H998" s="9">
        <v>3.8571420000000001</v>
      </c>
      <c r="I998" s="9">
        <v>0</v>
      </c>
      <c r="J998" s="9">
        <v>0</v>
      </c>
      <c r="K998" s="62" t="s">
        <v>44</v>
      </c>
      <c r="L998" s="63" t="str">
        <f t="shared" si="30"/>
        <v>Apr-2018</v>
      </c>
      <c r="M998" s="29">
        <f t="shared" si="31"/>
        <v>43191</v>
      </c>
    </row>
    <row r="999" spans="1:13" ht="21" x14ac:dyDescent="0.35">
      <c r="A999" s="8">
        <v>2018</v>
      </c>
      <c r="B999" s="9">
        <v>4</v>
      </c>
      <c r="C999" s="17" t="s">
        <v>47</v>
      </c>
      <c r="D999" s="64" t="s">
        <v>74</v>
      </c>
      <c r="E999" s="9">
        <v>1438.6999740000001</v>
      </c>
      <c r="F999" s="9">
        <v>11</v>
      </c>
      <c r="G999" s="9">
        <v>130.79</v>
      </c>
      <c r="H999" s="9">
        <v>4</v>
      </c>
      <c r="I999" s="9">
        <v>0</v>
      </c>
      <c r="J999" s="9">
        <v>0</v>
      </c>
      <c r="K999" s="62" t="s">
        <v>44</v>
      </c>
      <c r="L999" s="63" t="str">
        <f t="shared" si="30"/>
        <v>Apr-2018</v>
      </c>
      <c r="M999" s="29">
        <f t="shared" si="31"/>
        <v>43191</v>
      </c>
    </row>
    <row r="1000" spans="1:13" ht="21" x14ac:dyDescent="0.35">
      <c r="A1000" s="8">
        <v>2018</v>
      </c>
      <c r="B1000" s="9">
        <v>4</v>
      </c>
      <c r="C1000" s="17" t="s">
        <v>125</v>
      </c>
      <c r="D1000" s="64" t="s">
        <v>110</v>
      </c>
      <c r="E1000" s="9">
        <v>1332.9900150000001</v>
      </c>
      <c r="F1000" s="9">
        <v>16</v>
      </c>
      <c r="G1000" s="9">
        <v>83.31</v>
      </c>
      <c r="H1000" s="9">
        <v>4.3125</v>
      </c>
      <c r="I1000" s="9">
        <v>0</v>
      </c>
      <c r="J1000" s="9">
        <v>0</v>
      </c>
      <c r="K1000" s="62" t="s">
        <v>44</v>
      </c>
      <c r="L1000" s="63" t="str">
        <f t="shared" si="30"/>
        <v>Apr-2018</v>
      </c>
      <c r="M1000" s="29">
        <f t="shared" si="31"/>
        <v>43191</v>
      </c>
    </row>
    <row r="1001" spans="1:13" ht="21" x14ac:dyDescent="0.35">
      <c r="A1001" s="8">
        <v>2018</v>
      </c>
      <c r="B1001" s="9">
        <v>4</v>
      </c>
      <c r="C1001" s="17" t="s">
        <v>76</v>
      </c>
      <c r="D1001" s="64" t="s">
        <v>98</v>
      </c>
      <c r="E1001" s="9">
        <v>1326.7900010000001</v>
      </c>
      <c r="F1001" s="9">
        <v>12</v>
      </c>
      <c r="G1001" s="9">
        <v>110.57</v>
      </c>
      <c r="H1001" s="9">
        <v>4.5</v>
      </c>
      <c r="I1001" s="9">
        <v>0</v>
      </c>
      <c r="J1001" s="9">
        <v>0</v>
      </c>
      <c r="K1001" s="62" t="s">
        <v>44</v>
      </c>
      <c r="L1001" s="63" t="str">
        <f t="shared" si="30"/>
        <v>Apr-2018</v>
      </c>
      <c r="M1001" s="29">
        <f t="shared" si="31"/>
        <v>43191</v>
      </c>
    </row>
    <row r="1002" spans="1:13" ht="21" x14ac:dyDescent="0.35">
      <c r="A1002" s="8">
        <v>2018</v>
      </c>
      <c r="B1002" s="9">
        <v>4</v>
      </c>
      <c r="C1002" s="17" t="s">
        <v>77</v>
      </c>
      <c r="D1002" s="64" t="s">
        <v>68</v>
      </c>
      <c r="E1002" s="9">
        <v>1172.1000200000001</v>
      </c>
      <c r="F1002" s="9">
        <v>23</v>
      </c>
      <c r="G1002" s="9">
        <v>50.96</v>
      </c>
      <c r="H1002" s="9">
        <v>4.4782599999999997</v>
      </c>
      <c r="I1002" s="9">
        <v>0</v>
      </c>
      <c r="J1002" s="9">
        <v>0</v>
      </c>
      <c r="K1002" s="62" t="s">
        <v>44</v>
      </c>
      <c r="L1002" s="63" t="str">
        <f t="shared" si="30"/>
        <v>Apr-2018</v>
      </c>
      <c r="M1002" s="29">
        <f t="shared" si="31"/>
        <v>43191</v>
      </c>
    </row>
    <row r="1003" spans="1:13" ht="21" x14ac:dyDescent="0.35">
      <c r="A1003" s="8">
        <v>2018</v>
      </c>
      <c r="B1003" s="9">
        <v>4</v>
      </c>
      <c r="C1003" s="17" t="s">
        <v>94</v>
      </c>
      <c r="D1003" s="64" t="s">
        <v>59</v>
      </c>
      <c r="E1003" s="9">
        <v>627.23001099999999</v>
      </c>
      <c r="F1003" s="9">
        <v>15</v>
      </c>
      <c r="G1003" s="9">
        <v>41.82</v>
      </c>
      <c r="H1003" s="9">
        <v>4.5999999999999996</v>
      </c>
      <c r="I1003" s="9">
        <v>0</v>
      </c>
      <c r="J1003" s="9">
        <v>0</v>
      </c>
      <c r="K1003" s="62" t="s">
        <v>44</v>
      </c>
      <c r="L1003" s="63" t="str">
        <f t="shared" si="30"/>
        <v>Apr-2018</v>
      </c>
      <c r="M1003" s="29">
        <f t="shared" si="31"/>
        <v>43191</v>
      </c>
    </row>
    <row r="1004" spans="1:13" ht="21" x14ac:dyDescent="0.35">
      <c r="A1004" s="8">
        <v>2018</v>
      </c>
      <c r="B1004" s="9">
        <v>4</v>
      </c>
      <c r="C1004" s="17" t="s">
        <v>103</v>
      </c>
      <c r="D1004" s="64" t="s">
        <v>106</v>
      </c>
      <c r="E1004" s="9">
        <v>605.07000919999996</v>
      </c>
      <c r="F1004" s="9">
        <v>16</v>
      </c>
      <c r="G1004" s="9">
        <v>37.82</v>
      </c>
      <c r="H1004" s="9">
        <v>4.5</v>
      </c>
      <c r="I1004" s="9">
        <v>0</v>
      </c>
      <c r="J1004" s="9">
        <v>0</v>
      </c>
      <c r="K1004" s="62" t="s">
        <v>44</v>
      </c>
      <c r="L1004" s="63" t="str">
        <f t="shared" si="30"/>
        <v>Apr-2018</v>
      </c>
      <c r="M1004" s="29">
        <f t="shared" si="31"/>
        <v>43191</v>
      </c>
    </row>
    <row r="1005" spans="1:13" ht="21" x14ac:dyDescent="0.35">
      <c r="A1005" s="8">
        <v>2018</v>
      </c>
      <c r="B1005" s="9">
        <v>4</v>
      </c>
      <c r="C1005" s="17" t="s">
        <v>109</v>
      </c>
      <c r="D1005" s="64" t="s">
        <v>102</v>
      </c>
      <c r="E1005" s="9">
        <v>521.73999790000005</v>
      </c>
      <c r="F1005" s="9">
        <v>5</v>
      </c>
      <c r="G1005" s="9">
        <v>104.35</v>
      </c>
      <c r="H1005" s="9">
        <v>4.4000000000000004</v>
      </c>
      <c r="I1005" s="9">
        <v>0</v>
      </c>
      <c r="J1005" s="9">
        <v>0</v>
      </c>
      <c r="K1005" s="62" t="s">
        <v>44</v>
      </c>
      <c r="L1005" s="63" t="str">
        <f t="shared" si="30"/>
        <v>Apr-2018</v>
      </c>
      <c r="M1005" s="29">
        <f t="shared" si="31"/>
        <v>43191</v>
      </c>
    </row>
    <row r="1006" spans="1:13" ht="21" x14ac:dyDescent="0.35">
      <c r="A1006" s="8">
        <v>2018</v>
      </c>
      <c r="B1006" s="9">
        <v>4</v>
      </c>
      <c r="C1006" s="17" t="s">
        <v>115</v>
      </c>
      <c r="D1006" s="64" t="s">
        <v>87</v>
      </c>
      <c r="E1006" s="9">
        <v>359.4000092</v>
      </c>
      <c r="F1006" s="9">
        <v>6</v>
      </c>
      <c r="G1006" s="9">
        <v>59.9</v>
      </c>
      <c r="H1006" s="9">
        <v>4.1666660000000002</v>
      </c>
      <c r="I1006" s="9">
        <v>0</v>
      </c>
      <c r="J1006" s="9">
        <v>0</v>
      </c>
      <c r="K1006" s="62" t="s">
        <v>44</v>
      </c>
      <c r="L1006" s="63" t="str">
        <f t="shared" si="30"/>
        <v>Apr-2018</v>
      </c>
      <c r="M1006" s="29">
        <f t="shared" si="31"/>
        <v>43191</v>
      </c>
    </row>
    <row r="1007" spans="1:13" ht="21" x14ac:dyDescent="0.35">
      <c r="A1007" s="8">
        <v>2018</v>
      </c>
      <c r="B1007" s="9">
        <v>4</v>
      </c>
      <c r="C1007" s="17" t="s">
        <v>118</v>
      </c>
      <c r="D1007" s="64" t="s">
        <v>101</v>
      </c>
      <c r="E1007" s="9">
        <v>317.98999980000002</v>
      </c>
      <c r="F1007" s="9">
        <v>4</v>
      </c>
      <c r="G1007" s="9">
        <v>79.5</v>
      </c>
      <c r="H1007" s="9">
        <v>4.75</v>
      </c>
      <c r="I1007" s="9">
        <v>0</v>
      </c>
      <c r="J1007" s="9">
        <v>0</v>
      </c>
      <c r="K1007" s="62" t="s">
        <v>44</v>
      </c>
      <c r="L1007" s="63" t="str">
        <f t="shared" si="30"/>
        <v>Apr-2018</v>
      </c>
      <c r="M1007" s="29">
        <f t="shared" si="31"/>
        <v>43191</v>
      </c>
    </row>
    <row r="1008" spans="1:13" ht="21" x14ac:dyDescent="0.35">
      <c r="A1008" s="8">
        <v>2018</v>
      </c>
      <c r="B1008" s="9">
        <v>4</v>
      </c>
      <c r="C1008" s="17" t="s">
        <v>120</v>
      </c>
      <c r="D1008" s="64" t="s">
        <v>114</v>
      </c>
      <c r="E1008" s="9">
        <v>280</v>
      </c>
      <c r="F1008" s="9">
        <v>1</v>
      </c>
      <c r="G1008" s="9">
        <v>280</v>
      </c>
      <c r="H1008" s="9">
        <v>1</v>
      </c>
      <c r="I1008" s="9">
        <v>0</v>
      </c>
      <c r="J1008" s="9">
        <v>0</v>
      </c>
      <c r="K1008" s="62" t="s">
        <v>44</v>
      </c>
      <c r="L1008" s="63" t="str">
        <f t="shared" si="30"/>
        <v>Apr-2018</v>
      </c>
      <c r="M1008" s="29">
        <f t="shared" si="31"/>
        <v>43191</v>
      </c>
    </row>
    <row r="1009" spans="1:13" ht="21" x14ac:dyDescent="0.35">
      <c r="A1009" s="8">
        <v>2018</v>
      </c>
      <c r="B1009" s="9">
        <v>4</v>
      </c>
      <c r="C1009" s="17" t="s">
        <v>124</v>
      </c>
      <c r="D1009" s="64" t="s">
        <v>113</v>
      </c>
      <c r="E1009" s="9">
        <v>275.1500039</v>
      </c>
      <c r="F1009" s="9">
        <v>9</v>
      </c>
      <c r="G1009" s="9">
        <v>30.57</v>
      </c>
      <c r="H1009" s="9">
        <v>4.555555</v>
      </c>
      <c r="I1009" s="9">
        <v>0</v>
      </c>
      <c r="J1009" s="9">
        <v>0</v>
      </c>
      <c r="K1009" s="62" t="s">
        <v>44</v>
      </c>
      <c r="L1009" s="63" t="str">
        <f t="shared" si="30"/>
        <v>Apr-2018</v>
      </c>
      <c r="M1009" s="29">
        <f t="shared" si="31"/>
        <v>43191</v>
      </c>
    </row>
    <row r="1010" spans="1:13" ht="21" x14ac:dyDescent="0.35">
      <c r="A1010" s="8">
        <v>2018</v>
      </c>
      <c r="B1010" s="9">
        <v>4</v>
      </c>
      <c r="C1010" s="17" t="s">
        <v>42</v>
      </c>
      <c r="D1010" s="64" t="s">
        <v>75</v>
      </c>
      <c r="E1010" s="9">
        <v>195</v>
      </c>
      <c r="F1010" s="9">
        <v>1</v>
      </c>
      <c r="G1010" s="9">
        <v>195</v>
      </c>
      <c r="H1010" s="9" t="s">
        <v>0</v>
      </c>
      <c r="I1010" s="9">
        <v>0</v>
      </c>
      <c r="J1010" s="9">
        <v>0</v>
      </c>
      <c r="K1010" s="62" t="s">
        <v>44</v>
      </c>
      <c r="L1010" s="63" t="str">
        <f t="shared" si="30"/>
        <v>Apr-2018</v>
      </c>
      <c r="M1010" s="29">
        <f t="shared" si="31"/>
        <v>43191</v>
      </c>
    </row>
    <row r="1011" spans="1:13" ht="21" x14ac:dyDescent="0.35">
      <c r="A1011" s="8">
        <v>2018</v>
      </c>
      <c r="B1011" s="9">
        <v>4</v>
      </c>
      <c r="C1011" s="17" t="s">
        <v>47</v>
      </c>
      <c r="D1011" s="64" t="s">
        <v>73</v>
      </c>
      <c r="E1011" s="9">
        <v>174.9500084</v>
      </c>
      <c r="F1011" s="9">
        <v>1</v>
      </c>
      <c r="G1011" s="9">
        <v>174.95</v>
      </c>
      <c r="H1011" s="9">
        <v>4</v>
      </c>
      <c r="I1011" s="9">
        <v>0</v>
      </c>
      <c r="J1011" s="9">
        <v>0</v>
      </c>
      <c r="K1011" s="62" t="s">
        <v>44</v>
      </c>
      <c r="L1011" s="63" t="str">
        <f t="shared" si="30"/>
        <v>Apr-2018</v>
      </c>
      <c r="M1011" s="29">
        <f t="shared" si="31"/>
        <v>43191</v>
      </c>
    </row>
    <row r="1012" spans="1:13" ht="21" x14ac:dyDescent="0.35">
      <c r="A1012" s="8">
        <v>2018</v>
      </c>
      <c r="B1012" s="9">
        <v>4</v>
      </c>
      <c r="C1012" s="17" t="s">
        <v>125</v>
      </c>
      <c r="D1012" s="64" t="s">
        <v>126</v>
      </c>
      <c r="E1012" s="9">
        <v>158.4000015</v>
      </c>
      <c r="F1012" s="9">
        <v>3</v>
      </c>
      <c r="G1012" s="9">
        <v>52.8</v>
      </c>
      <c r="H1012" s="9">
        <v>3.3333330000000001</v>
      </c>
      <c r="I1012" s="9">
        <v>0</v>
      </c>
      <c r="J1012" s="9">
        <v>0</v>
      </c>
      <c r="K1012" s="62" t="s">
        <v>44</v>
      </c>
      <c r="L1012" s="63" t="str">
        <f t="shared" si="30"/>
        <v>Apr-2018</v>
      </c>
      <c r="M1012" s="29">
        <f t="shared" si="31"/>
        <v>43191</v>
      </c>
    </row>
    <row r="1013" spans="1:13" ht="21" x14ac:dyDescent="0.35">
      <c r="A1013" s="8">
        <v>2018</v>
      </c>
      <c r="B1013" s="9">
        <v>4</v>
      </c>
      <c r="C1013" s="17" t="s">
        <v>76</v>
      </c>
      <c r="D1013" s="64" t="s">
        <v>70</v>
      </c>
      <c r="E1013" s="9">
        <v>149</v>
      </c>
      <c r="F1013" s="9">
        <v>4</v>
      </c>
      <c r="G1013" s="9">
        <v>37.25</v>
      </c>
      <c r="H1013" s="9">
        <v>4.25</v>
      </c>
      <c r="I1013" s="9">
        <v>0</v>
      </c>
      <c r="J1013" s="9">
        <v>0</v>
      </c>
      <c r="K1013" s="62" t="s">
        <v>44</v>
      </c>
      <c r="L1013" s="63" t="str">
        <f t="shared" si="30"/>
        <v>Apr-2018</v>
      </c>
      <c r="M1013" s="29">
        <f t="shared" si="31"/>
        <v>43191</v>
      </c>
    </row>
    <row r="1014" spans="1:13" ht="21" x14ac:dyDescent="0.35">
      <c r="A1014" s="8">
        <v>2018</v>
      </c>
      <c r="B1014" s="9">
        <v>4</v>
      </c>
      <c r="C1014" s="17" t="s">
        <v>77</v>
      </c>
      <c r="D1014" s="64" t="s">
        <v>92</v>
      </c>
      <c r="E1014" s="9">
        <v>92.499998090000005</v>
      </c>
      <c r="F1014" s="9">
        <v>4</v>
      </c>
      <c r="G1014" s="9">
        <v>23.12</v>
      </c>
      <c r="H1014" s="9">
        <v>4.25</v>
      </c>
      <c r="I1014" s="9">
        <v>0</v>
      </c>
      <c r="J1014" s="9">
        <v>0</v>
      </c>
      <c r="K1014" s="62" t="s">
        <v>44</v>
      </c>
      <c r="L1014" s="63" t="str">
        <f t="shared" si="30"/>
        <v>Apr-2018</v>
      </c>
      <c r="M1014" s="29">
        <f t="shared" si="31"/>
        <v>43191</v>
      </c>
    </row>
    <row r="1015" spans="1:13" ht="21" x14ac:dyDescent="0.35">
      <c r="A1015" s="8">
        <v>2018</v>
      </c>
      <c r="B1015" s="9">
        <v>4</v>
      </c>
      <c r="C1015" s="17" t="s">
        <v>94</v>
      </c>
      <c r="D1015" s="64" t="s">
        <v>108</v>
      </c>
      <c r="E1015" s="9">
        <v>89.900001529999997</v>
      </c>
      <c r="F1015" s="9">
        <v>1</v>
      </c>
      <c r="G1015" s="9">
        <v>89.9</v>
      </c>
      <c r="H1015" s="9">
        <v>5</v>
      </c>
      <c r="I1015" s="9">
        <v>0</v>
      </c>
      <c r="J1015" s="9">
        <v>0</v>
      </c>
      <c r="K1015" s="62" t="s">
        <v>44</v>
      </c>
      <c r="L1015" s="63" t="str">
        <f t="shared" si="30"/>
        <v>Apr-2018</v>
      </c>
      <c r="M1015" s="29">
        <f t="shared" si="31"/>
        <v>43191</v>
      </c>
    </row>
    <row r="1016" spans="1:13" ht="21" x14ac:dyDescent="0.35">
      <c r="A1016" s="8">
        <v>2018</v>
      </c>
      <c r="B1016" s="9">
        <v>4</v>
      </c>
      <c r="C1016" s="17" t="s">
        <v>103</v>
      </c>
      <c r="D1016" s="64" t="s">
        <v>122</v>
      </c>
      <c r="E1016" s="9">
        <v>65</v>
      </c>
      <c r="F1016" s="9">
        <v>1</v>
      </c>
      <c r="G1016" s="9">
        <v>65</v>
      </c>
      <c r="H1016" s="9">
        <v>5</v>
      </c>
      <c r="I1016" s="9">
        <v>0</v>
      </c>
      <c r="J1016" s="9">
        <v>0</v>
      </c>
      <c r="K1016" s="62" t="s">
        <v>44</v>
      </c>
      <c r="L1016" s="63" t="str">
        <f t="shared" si="30"/>
        <v>Apr-2018</v>
      </c>
      <c r="M1016" s="29">
        <f t="shared" si="31"/>
        <v>43191</v>
      </c>
    </row>
    <row r="1017" spans="1:13" ht="21" x14ac:dyDescent="0.35">
      <c r="A1017" s="8">
        <v>2018</v>
      </c>
      <c r="B1017" s="9">
        <v>4</v>
      </c>
      <c r="C1017" s="17" t="s">
        <v>109</v>
      </c>
      <c r="D1017" s="64" t="s">
        <v>95</v>
      </c>
      <c r="E1017" s="9">
        <v>52</v>
      </c>
      <c r="F1017" s="9">
        <v>1</v>
      </c>
      <c r="G1017" s="9">
        <v>52</v>
      </c>
      <c r="H1017" s="9">
        <v>5</v>
      </c>
      <c r="I1017" s="9">
        <v>0</v>
      </c>
      <c r="J1017" s="9">
        <v>0</v>
      </c>
      <c r="K1017" s="62" t="s">
        <v>44</v>
      </c>
      <c r="L1017" s="63" t="str">
        <f t="shared" si="30"/>
        <v>Apr-2018</v>
      </c>
      <c r="M1017" s="29">
        <f t="shared" si="31"/>
        <v>43191</v>
      </c>
    </row>
    <row r="1018" spans="1:13" ht="21" x14ac:dyDescent="0.35">
      <c r="A1018" s="8">
        <v>2018</v>
      </c>
      <c r="B1018" s="9">
        <v>4</v>
      </c>
      <c r="C1018" s="17" t="s">
        <v>115</v>
      </c>
      <c r="D1018" s="64" t="s">
        <v>123</v>
      </c>
      <c r="E1018" s="9">
        <v>43.799999239999998</v>
      </c>
      <c r="F1018" s="9">
        <v>1</v>
      </c>
      <c r="G1018" s="9">
        <v>43.8</v>
      </c>
      <c r="H1018" s="9">
        <v>1</v>
      </c>
      <c r="I1018" s="9">
        <v>0</v>
      </c>
      <c r="J1018" s="9">
        <v>0</v>
      </c>
      <c r="K1018" s="62" t="s">
        <v>44</v>
      </c>
      <c r="L1018" s="63" t="str">
        <f t="shared" si="30"/>
        <v>Apr-2018</v>
      </c>
      <c r="M1018" s="29">
        <f t="shared" si="31"/>
        <v>43191</v>
      </c>
    </row>
    <row r="1019" spans="1:13" ht="21" x14ac:dyDescent="0.35">
      <c r="A1019" s="8">
        <v>2018</v>
      </c>
      <c r="B1019" s="9">
        <v>4</v>
      </c>
      <c r="C1019" s="17" t="s">
        <v>118</v>
      </c>
      <c r="D1019" s="64" t="s">
        <v>117</v>
      </c>
      <c r="E1019" s="9">
        <v>15.989999770000001</v>
      </c>
      <c r="F1019" s="9">
        <v>1</v>
      </c>
      <c r="G1019" s="9">
        <v>15.99</v>
      </c>
      <c r="H1019" s="9">
        <v>4</v>
      </c>
      <c r="I1019" s="9">
        <v>0</v>
      </c>
      <c r="J1019" s="9">
        <v>0</v>
      </c>
      <c r="K1019" s="62" t="s">
        <v>44</v>
      </c>
      <c r="L1019" s="63" t="str">
        <f t="shared" si="30"/>
        <v>Apr-2018</v>
      </c>
      <c r="M1019" s="29">
        <f t="shared" si="31"/>
        <v>43191</v>
      </c>
    </row>
    <row r="1020" spans="1:13" ht="21" x14ac:dyDescent="0.35">
      <c r="A1020" s="8">
        <v>2018</v>
      </c>
      <c r="B1020" s="9">
        <v>4</v>
      </c>
      <c r="C1020" s="17" t="s">
        <v>120</v>
      </c>
      <c r="D1020" s="64" t="s">
        <v>90</v>
      </c>
      <c r="E1020" s="9">
        <v>12.899999619999999</v>
      </c>
      <c r="F1020" s="9">
        <v>1</v>
      </c>
      <c r="G1020" s="9">
        <v>12.9</v>
      </c>
      <c r="H1020" s="9">
        <v>1</v>
      </c>
      <c r="I1020" s="9">
        <v>0</v>
      </c>
      <c r="J1020" s="9">
        <v>0</v>
      </c>
      <c r="K1020" s="62" t="s">
        <v>44</v>
      </c>
      <c r="L1020" s="63" t="str">
        <f t="shared" si="30"/>
        <v>Apr-2018</v>
      </c>
      <c r="M1020" s="29">
        <f t="shared" si="31"/>
        <v>43191</v>
      </c>
    </row>
    <row r="1021" spans="1:13" ht="21" x14ac:dyDescent="0.35">
      <c r="A1021" s="8">
        <v>2018</v>
      </c>
      <c r="B1021" s="9">
        <v>5</v>
      </c>
      <c r="C1021" s="17" t="s">
        <v>124</v>
      </c>
      <c r="D1021" s="64" t="s">
        <v>51</v>
      </c>
      <c r="E1021" s="9">
        <v>123872.66009999999</v>
      </c>
      <c r="F1021" s="9">
        <v>596</v>
      </c>
      <c r="G1021" s="9">
        <v>207.84</v>
      </c>
      <c r="H1021" s="9">
        <v>4.0495789999999996</v>
      </c>
      <c r="I1021" s="9">
        <v>0</v>
      </c>
      <c r="J1021" s="9">
        <v>0</v>
      </c>
      <c r="K1021" s="62" t="s">
        <v>44</v>
      </c>
      <c r="L1021" s="63" t="str">
        <f t="shared" si="30"/>
        <v>May-2018</v>
      </c>
      <c r="M1021" s="29">
        <f t="shared" si="31"/>
        <v>43221</v>
      </c>
    </row>
    <row r="1022" spans="1:13" ht="21" x14ac:dyDescent="0.35">
      <c r="A1022" s="8">
        <v>2018</v>
      </c>
      <c r="B1022" s="9">
        <v>5</v>
      </c>
      <c r="C1022" s="17" t="s">
        <v>42</v>
      </c>
      <c r="D1022" s="64" t="s">
        <v>43</v>
      </c>
      <c r="E1022" s="9">
        <v>96460.359719999993</v>
      </c>
      <c r="F1022" s="9">
        <v>686</v>
      </c>
      <c r="G1022" s="9">
        <v>140.61000000000001</v>
      </c>
      <c r="H1022" s="9">
        <v>4.2327959999999996</v>
      </c>
      <c r="I1022" s="9">
        <v>5</v>
      </c>
      <c r="J1022" s="9">
        <v>0.73</v>
      </c>
      <c r="K1022" s="62" t="s">
        <v>44</v>
      </c>
      <c r="L1022" s="63" t="str">
        <f t="shared" si="30"/>
        <v>May-2018</v>
      </c>
      <c r="M1022" s="29">
        <f t="shared" si="31"/>
        <v>43221</v>
      </c>
    </row>
    <row r="1023" spans="1:13" ht="21" x14ac:dyDescent="0.35">
      <c r="A1023" s="8">
        <v>2018</v>
      </c>
      <c r="B1023" s="9">
        <v>5</v>
      </c>
      <c r="C1023" s="17" t="s">
        <v>47</v>
      </c>
      <c r="D1023" s="64" t="s">
        <v>66</v>
      </c>
      <c r="E1023" s="9">
        <v>71702.769679999998</v>
      </c>
      <c r="F1023" s="9">
        <v>606</v>
      </c>
      <c r="G1023" s="9">
        <v>118.32</v>
      </c>
      <c r="H1023" s="9">
        <v>4.0784640000000003</v>
      </c>
      <c r="I1023" s="9">
        <v>1</v>
      </c>
      <c r="J1023" s="9">
        <v>0.17</v>
      </c>
      <c r="K1023" s="62" t="s">
        <v>44</v>
      </c>
      <c r="L1023" s="63" t="str">
        <f t="shared" si="30"/>
        <v>May-2018</v>
      </c>
      <c r="M1023" s="29">
        <f t="shared" si="31"/>
        <v>43221</v>
      </c>
    </row>
    <row r="1024" spans="1:13" ht="21" x14ac:dyDescent="0.35">
      <c r="A1024" s="8">
        <v>2018</v>
      </c>
      <c r="B1024" s="9">
        <v>5</v>
      </c>
      <c r="C1024" s="17" t="s">
        <v>125</v>
      </c>
      <c r="D1024" s="64" t="s">
        <v>61</v>
      </c>
      <c r="E1024" s="9">
        <v>63003.57</v>
      </c>
      <c r="F1024" s="9">
        <v>493</v>
      </c>
      <c r="G1024" s="9">
        <v>127.8</v>
      </c>
      <c r="H1024" s="9">
        <v>4.2862980000000004</v>
      </c>
      <c r="I1024" s="9">
        <v>0</v>
      </c>
      <c r="J1024" s="9">
        <v>0</v>
      </c>
      <c r="K1024" s="62" t="s">
        <v>44</v>
      </c>
      <c r="L1024" s="63" t="str">
        <f t="shared" si="30"/>
        <v>May-2018</v>
      </c>
      <c r="M1024" s="29">
        <f t="shared" si="31"/>
        <v>43221</v>
      </c>
    </row>
    <row r="1025" spans="1:13" ht="21" x14ac:dyDescent="0.35">
      <c r="A1025" s="8">
        <v>2018</v>
      </c>
      <c r="B1025" s="9">
        <v>5</v>
      </c>
      <c r="C1025" s="17" t="s">
        <v>76</v>
      </c>
      <c r="D1025" s="64" t="s">
        <v>52</v>
      </c>
      <c r="E1025" s="9">
        <v>59664.109909999999</v>
      </c>
      <c r="F1025" s="9">
        <v>452</v>
      </c>
      <c r="G1025" s="9">
        <v>132</v>
      </c>
      <c r="H1025" s="9">
        <v>4.288888</v>
      </c>
      <c r="I1025" s="9">
        <v>1</v>
      </c>
      <c r="J1025" s="9">
        <v>0.22</v>
      </c>
      <c r="K1025" s="62" t="s">
        <v>44</v>
      </c>
      <c r="L1025" s="63" t="str">
        <f t="shared" si="30"/>
        <v>May-2018</v>
      </c>
      <c r="M1025" s="29">
        <f t="shared" si="31"/>
        <v>43221</v>
      </c>
    </row>
    <row r="1026" spans="1:13" ht="21" x14ac:dyDescent="0.35">
      <c r="A1026" s="8">
        <v>2018</v>
      </c>
      <c r="B1026" s="9">
        <v>5</v>
      </c>
      <c r="C1026" s="17" t="s">
        <v>77</v>
      </c>
      <c r="D1026" s="64" t="s">
        <v>45</v>
      </c>
      <c r="E1026" s="9">
        <v>54260.980230000001</v>
      </c>
      <c r="F1026" s="9">
        <v>462</v>
      </c>
      <c r="G1026" s="9">
        <v>117.45</v>
      </c>
      <c r="H1026" s="9">
        <v>4.1388280000000002</v>
      </c>
      <c r="I1026" s="9">
        <v>1</v>
      </c>
      <c r="J1026" s="9">
        <v>0.22</v>
      </c>
      <c r="K1026" s="62" t="s">
        <v>44</v>
      </c>
      <c r="L1026" s="63" t="str">
        <f t="shared" ref="L1026:L1089" si="32">TEXT(DATE(A1026,B1026,1),"mmm-yyyy")</f>
        <v>May-2018</v>
      </c>
      <c r="M1026" s="29">
        <f t="shared" ref="M1026:M1089" si="33">DATE(A1026,B1026,1)</f>
        <v>43221</v>
      </c>
    </row>
    <row r="1027" spans="1:13" ht="21" x14ac:dyDescent="0.35">
      <c r="A1027" s="8">
        <v>2018</v>
      </c>
      <c r="B1027" s="9">
        <v>5</v>
      </c>
      <c r="C1027" s="17" t="s">
        <v>94</v>
      </c>
      <c r="D1027" s="64" t="s">
        <v>56</v>
      </c>
      <c r="E1027" s="9">
        <v>51515.729720000003</v>
      </c>
      <c r="F1027" s="9">
        <v>409</v>
      </c>
      <c r="G1027" s="9">
        <v>125.96</v>
      </c>
      <c r="H1027" s="9">
        <v>4.0466829999999998</v>
      </c>
      <c r="I1027" s="9">
        <v>1</v>
      </c>
      <c r="J1027" s="9">
        <v>0.24</v>
      </c>
      <c r="K1027" s="62" t="s">
        <v>44</v>
      </c>
      <c r="L1027" s="63" t="str">
        <f t="shared" si="32"/>
        <v>May-2018</v>
      </c>
      <c r="M1027" s="29">
        <f t="shared" si="33"/>
        <v>43221</v>
      </c>
    </row>
    <row r="1028" spans="1:13" ht="21" x14ac:dyDescent="0.35">
      <c r="A1028" s="8">
        <v>2018</v>
      </c>
      <c r="B1028" s="9">
        <v>5</v>
      </c>
      <c r="C1028" s="17" t="s">
        <v>103</v>
      </c>
      <c r="D1028" s="64" t="s">
        <v>53</v>
      </c>
      <c r="E1028" s="9">
        <v>40928.140149999999</v>
      </c>
      <c r="F1028" s="9">
        <v>298</v>
      </c>
      <c r="G1028" s="9">
        <v>137.34</v>
      </c>
      <c r="H1028" s="9">
        <v>4.161073</v>
      </c>
      <c r="I1028" s="9">
        <v>1</v>
      </c>
      <c r="J1028" s="9">
        <v>0.34</v>
      </c>
      <c r="K1028" s="62" t="s">
        <v>44</v>
      </c>
      <c r="L1028" s="63" t="str">
        <f t="shared" si="32"/>
        <v>May-2018</v>
      </c>
      <c r="M1028" s="29">
        <f t="shared" si="33"/>
        <v>43221</v>
      </c>
    </row>
    <row r="1029" spans="1:13" ht="21" x14ac:dyDescent="0.35">
      <c r="A1029" s="8">
        <v>2018</v>
      </c>
      <c r="B1029" s="9">
        <v>5</v>
      </c>
      <c r="C1029" s="17" t="s">
        <v>109</v>
      </c>
      <c r="D1029" s="64" t="s">
        <v>57</v>
      </c>
      <c r="E1029" s="9">
        <v>37863.180209999999</v>
      </c>
      <c r="F1029" s="9">
        <v>230</v>
      </c>
      <c r="G1029" s="9">
        <v>164.62</v>
      </c>
      <c r="H1029" s="9">
        <v>4.2973559999999997</v>
      </c>
      <c r="I1029" s="9">
        <v>0</v>
      </c>
      <c r="J1029" s="9">
        <v>0</v>
      </c>
      <c r="K1029" s="62" t="s">
        <v>44</v>
      </c>
      <c r="L1029" s="63" t="str">
        <f t="shared" si="32"/>
        <v>May-2018</v>
      </c>
      <c r="M1029" s="29">
        <f t="shared" si="33"/>
        <v>43221</v>
      </c>
    </row>
    <row r="1030" spans="1:13" ht="21" x14ac:dyDescent="0.35">
      <c r="A1030" s="8">
        <v>2018</v>
      </c>
      <c r="B1030" s="9">
        <v>5</v>
      </c>
      <c r="C1030" s="17" t="s">
        <v>115</v>
      </c>
      <c r="D1030" s="64" t="s">
        <v>55</v>
      </c>
      <c r="E1030" s="9">
        <v>34003.599950000003</v>
      </c>
      <c r="F1030" s="9">
        <v>224</v>
      </c>
      <c r="G1030" s="9">
        <v>151.80000000000001</v>
      </c>
      <c r="H1030" s="9">
        <v>4.1300439999999998</v>
      </c>
      <c r="I1030" s="9">
        <v>1</v>
      </c>
      <c r="J1030" s="9">
        <v>0.45</v>
      </c>
      <c r="K1030" s="62" t="s">
        <v>44</v>
      </c>
      <c r="L1030" s="63" t="str">
        <f t="shared" si="32"/>
        <v>May-2018</v>
      </c>
      <c r="M1030" s="29">
        <f t="shared" si="33"/>
        <v>43221</v>
      </c>
    </row>
    <row r="1031" spans="1:13" ht="21" x14ac:dyDescent="0.35">
      <c r="A1031" s="8">
        <v>2018</v>
      </c>
      <c r="B1031" s="9">
        <v>5</v>
      </c>
      <c r="C1031" s="17" t="s">
        <v>118</v>
      </c>
      <c r="D1031" s="64" t="s">
        <v>49</v>
      </c>
      <c r="E1031" s="9">
        <v>31767.3001</v>
      </c>
      <c r="F1031" s="9">
        <v>214</v>
      </c>
      <c r="G1031" s="9">
        <v>148.44999999999999</v>
      </c>
      <c r="H1031" s="9">
        <v>4.3457939999999997</v>
      </c>
      <c r="I1031" s="9">
        <v>1</v>
      </c>
      <c r="J1031" s="9">
        <v>0.47</v>
      </c>
      <c r="K1031" s="62" t="s">
        <v>44</v>
      </c>
      <c r="L1031" s="63" t="str">
        <f t="shared" si="32"/>
        <v>May-2018</v>
      </c>
      <c r="M1031" s="29">
        <f t="shared" si="33"/>
        <v>43221</v>
      </c>
    </row>
    <row r="1032" spans="1:13" ht="21" x14ac:dyDescent="0.35">
      <c r="A1032" s="8">
        <v>2018</v>
      </c>
      <c r="B1032" s="9">
        <v>5</v>
      </c>
      <c r="C1032" s="17" t="s">
        <v>120</v>
      </c>
      <c r="D1032" s="64" t="s">
        <v>62</v>
      </c>
      <c r="E1032" s="9">
        <v>30039.110049999999</v>
      </c>
      <c r="F1032" s="9">
        <v>169</v>
      </c>
      <c r="G1032" s="9">
        <v>177.75</v>
      </c>
      <c r="H1032" s="9">
        <v>4.1369040000000004</v>
      </c>
      <c r="I1032" s="9">
        <v>0</v>
      </c>
      <c r="J1032" s="9">
        <v>0</v>
      </c>
      <c r="K1032" s="62" t="s">
        <v>44</v>
      </c>
      <c r="L1032" s="63" t="str">
        <f t="shared" si="32"/>
        <v>May-2018</v>
      </c>
      <c r="M1032" s="29">
        <f t="shared" si="33"/>
        <v>43221</v>
      </c>
    </row>
    <row r="1033" spans="1:13" ht="21" x14ac:dyDescent="0.35">
      <c r="A1033" s="8">
        <v>2018</v>
      </c>
      <c r="B1033" s="9">
        <v>5</v>
      </c>
      <c r="C1033" s="17" t="s">
        <v>124</v>
      </c>
      <c r="D1033" s="64" t="s">
        <v>48</v>
      </c>
      <c r="E1033" s="9">
        <v>24757.699929999999</v>
      </c>
      <c r="F1033" s="9">
        <v>180</v>
      </c>
      <c r="G1033" s="9">
        <v>137.54</v>
      </c>
      <c r="H1033" s="9">
        <v>4.3166659999999997</v>
      </c>
      <c r="I1033" s="9">
        <v>0</v>
      </c>
      <c r="J1033" s="9">
        <v>0</v>
      </c>
      <c r="K1033" s="62" t="s">
        <v>44</v>
      </c>
      <c r="L1033" s="63" t="str">
        <f t="shared" si="32"/>
        <v>May-2018</v>
      </c>
      <c r="M1033" s="29">
        <f t="shared" si="33"/>
        <v>43221</v>
      </c>
    </row>
    <row r="1034" spans="1:13" ht="21" x14ac:dyDescent="0.35">
      <c r="A1034" s="8">
        <v>2018</v>
      </c>
      <c r="B1034" s="9">
        <v>5</v>
      </c>
      <c r="C1034" s="17" t="s">
        <v>42</v>
      </c>
      <c r="D1034" s="64" t="s">
        <v>46</v>
      </c>
      <c r="E1034" s="9">
        <v>21608.260020000002</v>
      </c>
      <c r="F1034" s="9">
        <v>243</v>
      </c>
      <c r="G1034" s="9">
        <v>88.92</v>
      </c>
      <c r="H1034" s="9">
        <v>4.2438010000000004</v>
      </c>
      <c r="I1034" s="9">
        <v>0</v>
      </c>
      <c r="J1034" s="9">
        <v>0</v>
      </c>
      <c r="K1034" s="62" t="s">
        <v>44</v>
      </c>
      <c r="L1034" s="63" t="str">
        <f t="shared" si="32"/>
        <v>May-2018</v>
      </c>
      <c r="M1034" s="29">
        <f t="shared" si="33"/>
        <v>43221</v>
      </c>
    </row>
    <row r="1035" spans="1:13" ht="21" x14ac:dyDescent="0.35">
      <c r="A1035" s="8">
        <v>2018</v>
      </c>
      <c r="B1035" s="9">
        <v>5</v>
      </c>
      <c r="C1035" s="17" t="s">
        <v>47</v>
      </c>
      <c r="D1035" s="64" t="s">
        <v>60</v>
      </c>
      <c r="E1035" s="9">
        <v>21005.86002</v>
      </c>
      <c r="F1035" s="9">
        <v>83</v>
      </c>
      <c r="G1035" s="9">
        <v>253.08</v>
      </c>
      <c r="H1035" s="9">
        <v>3.9518070000000001</v>
      </c>
      <c r="I1035" s="9">
        <v>0</v>
      </c>
      <c r="J1035" s="9">
        <v>0</v>
      </c>
      <c r="K1035" s="62" t="s">
        <v>44</v>
      </c>
      <c r="L1035" s="63" t="str">
        <f t="shared" si="32"/>
        <v>May-2018</v>
      </c>
      <c r="M1035" s="29">
        <f t="shared" si="33"/>
        <v>43221</v>
      </c>
    </row>
    <row r="1036" spans="1:13" ht="21" x14ac:dyDescent="0.35">
      <c r="A1036" s="8">
        <v>2018</v>
      </c>
      <c r="B1036" s="9">
        <v>5</v>
      </c>
      <c r="C1036" s="17" t="s">
        <v>125</v>
      </c>
      <c r="D1036" s="64" t="s">
        <v>85</v>
      </c>
      <c r="E1036" s="9">
        <v>20748.599890000001</v>
      </c>
      <c r="F1036" s="9">
        <v>89</v>
      </c>
      <c r="G1036" s="9">
        <v>233.13</v>
      </c>
      <c r="H1036" s="9">
        <v>4.1460670000000004</v>
      </c>
      <c r="I1036" s="9">
        <v>0</v>
      </c>
      <c r="J1036" s="9">
        <v>0</v>
      </c>
      <c r="K1036" s="62" t="s">
        <v>44</v>
      </c>
      <c r="L1036" s="63" t="str">
        <f t="shared" si="32"/>
        <v>May-2018</v>
      </c>
      <c r="M1036" s="29">
        <f t="shared" si="33"/>
        <v>43221</v>
      </c>
    </row>
    <row r="1037" spans="1:13" ht="21" x14ac:dyDescent="0.35">
      <c r="A1037" s="8">
        <v>2018</v>
      </c>
      <c r="B1037" s="9">
        <v>5</v>
      </c>
      <c r="C1037" s="17" t="s">
        <v>76</v>
      </c>
      <c r="D1037" s="64" t="s">
        <v>84</v>
      </c>
      <c r="E1037" s="9">
        <v>18757.070019999999</v>
      </c>
      <c r="F1037" s="9">
        <v>59</v>
      </c>
      <c r="G1037" s="9">
        <v>317.92</v>
      </c>
      <c r="H1037" s="9">
        <v>4.3220330000000002</v>
      </c>
      <c r="I1037" s="9">
        <v>0</v>
      </c>
      <c r="J1037" s="9">
        <v>0</v>
      </c>
      <c r="K1037" s="62" t="s">
        <v>44</v>
      </c>
      <c r="L1037" s="63" t="str">
        <f t="shared" si="32"/>
        <v>May-2018</v>
      </c>
      <c r="M1037" s="29">
        <f t="shared" si="33"/>
        <v>43221</v>
      </c>
    </row>
    <row r="1038" spans="1:13" ht="21" x14ac:dyDescent="0.35">
      <c r="A1038" s="8">
        <v>2018</v>
      </c>
      <c r="B1038" s="9">
        <v>5</v>
      </c>
      <c r="C1038" s="17" t="s">
        <v>77</v>
      </c>
      <c r="D1038" s="64" t="s">
        <v>58</v>
      </c>
      <c r="E1038" s="9">
        <v>16989.289919999999</v>
      </c>
      <c r="F1038" s="9">
        <v>223</v>
      </c>
      <c r="G1038" s="9">
        <v>76.19</v>
      </c>
      <c r="H1038" s="9">
        <v>4.3045450000000001</v>
      </c>
      <c r="I1038" s="9">
        <v>2</v>
      </c>
      <c r="J1038" s="9">
        <v>0.9</v>
      </c>
      <c r="K1038" s="62" t="s">
        <v>44</v>
      </c>
      <c r="L1038" s="63" t="str">
        <f t="shared" si="32"/>
        <v>May-2018</v>
      </c>
      <c r="M1038" s="29">
        <f t="shared" si="33"/>
        <v>43221</v>
      </c>
    </row>
    <row r="1039" spans="1:13" ht="21" x14ac:dyDescent="0.35">
      <c r="A1039" s="8">
        <v>2018</v>
      </c>
      <c r="B1039" s="9">
        <v>5</v>
      </c>
      <c r="C1039" s="17" t="s">
        <v>94</v>
      </c>
      <c r="D1039" s="64" t="s">
        <v>79</v>
      </c>
      <c r="E1039" s="9">
        <v>14441.239949999999</v>
      </c>
      <c r="F1039" s="9">
        <v>23</v>
      </c>
      <c r="G1039" s="9">
        <v>627.88</v>
      </c>
      <c r="H1039" s="9">
        <v>4.2608689999999996</v>
      </c>
      <c r="I1039" s="9">
        <v>0</v>
      </c>
      <c r="J1039" s="9">
        <v>0</v>
      </c>
      <c r="K1039" s="62" t="s">
        <v>44</v>
      </c>
      <c r="L1039" s="63" t="str">
        <f t="shared" si="32"/>
        <v>May-2018</v>
      </c>
      <c r="M1039" s="29">
        <f t="shared" si="33"/>
        <v>43221</v>
      </c>
    </row>
    <row r="1040" spans="1:13" ht="21" x14ac:dyDescent="0.35">
      <c r="A1040" s="8">
        <v>2018</v>
      </c>
      <c r="B1040" s="9">
        <v>5</v>
      </c>
      <c r="C1040" s="17" t="s">
        <v>103</v>
      </c>
      <c r="D1040" s="64" t="s">
        <v>81</v>
      </c>
      <c r="E1040" s="9">
        <v>12923.38999</v>
      </c>
      <c r="F1040" s="9">
        <v>124</v>
      </c>
      <c r="G1040" s="9">
        <v>104.22</v>
      </c>
      <c r="H1040" s="9">
        <v>4.4227639999999999</v>
      </c>
      <c r="I1040" s="9">
        <v>0</v>
      </c>
      <c r="J1040" s="9">
        <v>0</v>
      </c>
      <c r="K1040" s="62" t="s">
        <v>44</v>
      </c>
      <c r="L1040" s="63" t="str">
        <f t="shared" si="32"/>
        <v>May-2018</v>
      </c>
      <c r="M1040" s="29">
        <f t="shared" si="33"/>
        <v>43221</v>
      </c>
    </row>
    <row r="1041" spans="1:13" ht="21" x14ac:dyDescent="0.35">
      <c r="A1041" s="8">
        <v>2018</v>
      </c>
      <c r="B1041" s="9">
        <v>5</v>
      </c>
      <c r="C1041" s="17" t="s">
        <v>109</v>
      </c>
      <c r="D1041" s="64" t="s">
        <v>64</v>
      </c>
      <c r="E1041" s="9">
        <v>11708.460080000001</v>
      </c>
      <c r="F1041" s="9">
        <v>127</v>
      </c>
      <c r="G1041" s="9">
        <v>92.19</v>
      </c>
      <c r="H1041" s="9">
        <v>4.3015869999999996</v>
      </c>
      <c r="I1041" s="9">
        <v>0</v>
      </c>
      <c r="J1041" s="9">
        <v>0</v>
      </c>
      <c r="K1041" s="62" t="s">
        <v>44</v>
      </c>
      <c r="L1041" s="63" t="str">
        <f t="shared" si="32"/>
        <v>May-2018</v>
      </c>
      <c r="M1041" s="29">
        <f t="shared" si="33"/>
        <v>43221</v>
      </c>
    </row>
    <row r="1042" spans="1:13" ht="21" x14ac:dyDescent="0.35">
      <c r="A1042" s="8">
        <v>2018</v>
      </c>
      <c r="B1042" s="9">
        <v>5</v>
      </c>
      <c r="C1042" s="17" t="s">
        <v>115</v>
      </c>
      <c r="D1042" s="64" t="s">
        <v>65</v>
      </c>
      <c r="E1042" s="9">
        <v>11519.16</v>
      </c>
      <c r="F1042" s="9">
        <v>105</v>
      </c>
      <c r="G1042" s="9">
        <v>109.71</v>
      </c>
      <c r="H1042" s="9">
        <v>4.5666659999999997</v>
      </c>
      <c r="I1042" s="9">
        <v>0</v>
      </c>
      <c r="J1042" s="9">
        <v>0</v>
      </c>
      <c r="K1042" s="62" t="s">
        <v>44</v>
      </c>
      <c r="L1042" s="63" t="str">
        <f t="shared" si="32"/>
        <v>May-2018</v>
      </c>
      <c r="M1042" s="29">
        <f t="shared" si="33"/>
        <v>43221</v>
      </c>
    </row>
    <row r="1043" spans="1:13" ht="21" x14ac:dyDescent="0.35">
      <c r="A1043" s="8">
        <v>2018</v>
      </c>
      <c r="B1043" s="9">
        <v>5</v>
      </c>
      <c r="C1043" s="17" t="s">
        <v>118</v>
      </c>
      <c r="D1043" s="64" t="s">
        <v>80</v>
      </c>
      <c r="E1043" s="9">
        <v>10620.990019999999</v>
      </c>
      <c r="F1043" s="9">
        <v>39</v>
      </c>
      <c r="G1043" s="9">
        <v>272.33</v>
      </c>
      <c r="H1043" s="9">
        <v>4.0512819999999996</v>
      </c>
      <c r="I1043" s="9">
        <v>0</v>
      </c>
      <c r="J1043" s="9">
        <v>0</v>
      </c>
      <c r="K1043" s="62" t="s">
        <v>44</v>
      </c>
      <c r="L1043" s="63" t="str">
        <f t="shared" si="32"/>
        <v>May-2018</v>
      </c>
      <c r="M1043" s="29">
        <f t="shared" si="33"/>
        <v>43221</v>
      </c>
    </row>
    <row r="1044" spans="1:13" ht="21" x14ac:dyDescent="0.35">
      <c r="A1044" s="8">
        <v>2018</v>
      </c>
      <c r="B1044" s="9">
        <v>5</v>
      </c>
      <c r="C1044" s="17" t="s">
        <v>120</v>
      </c>
      <c r="D1044" s="64" t="s">
        <v>119</v>
      </c>
      <c r="E1044" s="9">
        <v>10161.6001</v>
      </c>
      <c r="F1044" s="9">
        <v>9</v>
      </c>
      <c r="G1044" s="9">
        <v>1129.07</v>
      </c>
      <c r="H1044" s="9">
        <v>4.2222220000000004</v>
      </c>
      <c r="I1044" s="9">
        <v>0</v>
      </c>
      <c r="J1044" s="9">
        <v>0</v>
      </c>
      <c r="K1044" s="62" t="s">
        <v>44</v>
      </c>
      <c r="L1044" s="63" t="str">
        <f t="shared" si="32"/>
        <v>May-2018</v>
      </c>
      <c r="M1044" s="29">
        <f t="shared" si="33"/>
        <v>43221</v>
      </c>
    </row>
    <row r="1045" spans="1:13" ht="21" x14ac:dyDescent="0.35">
      <c r="A1045" s="8">
        <v>2018</v>
      </c>
      <c r="B1045" s="9">
        <v>5</v>
      </c>
      <c r="C1045" s="17" t="s">
        <v>124</v>
      </c>
      <c r="D1045" s="64" t="s">
        <v>97</v>
      </c>
      <c r="E1045" s="9">
        <v>10155.27995</v>
      </c>
      <c r="F1045" s="9">
        <v>63</v>
      </c>
      <c r="G1045" s="9">
        <v>161.19</v>
      </c>
      <c r="H1045" s="9">
        <v>3.8709669999999998</v>
      </c>
      <c r="I1045" s="9">
        <v>0</v>
      </c>
      <c r="J1045" s="9">
        <v>0</v>
      </c>
      <c r="K1045" s="62" t="s">
        <v>44</v>
      </c>
      <c r="L1045" s="63" t="str">
        <f t="shared" si="32"/>
        <v>May-2018</v>
      </c>
      <c r="M1045" s="29">
        <f t="shared" si="33"/>
        <v>43221</v>
      </c>
    </row>
    <row r="1046" spans="1:13" ht="21" x14ac:dyDescent="0.35">
      <c r="A1046" s="8">
        <v>2018</v>
      </c>
      <c r="B1046" s="9">
        <v>5</v>
      </c>
      <c r="C1046" s="17" t="s">
        <v>42</v>
      </c>
      <c r="D1046" s="64" t="s">
        <v>78</v>
      </c>
      <c r="E1046" s="9">
        <v>9429.9199219999991</v>
      </c>
      <c r="F1046" s="9">
        <v>7</v>
      </c>
      <c r="G1046" s="9">
        <v>1347.13</v>
      </c>
      <c r="H1046" s="9">
        <v>4.2857139999999996</v>
      </c>
      <c r="I1046" s="9">
        <v>0</v>
      </c>
      <c r="J1046" s="9">
        <v>0</v>
      </c>
      <c r="K1046" s="62" t="s">
        <v>44</v>
      </c>
      <c r="L1046" s="63" t="str">
        <f t="shared" si="32"/>
        <v>May-2018</v>
      </c>
      <c r="M1046" s="29">
        <f t="shared" si="33"/>
        <v>43221</v>
      </c>
    </row>
    <row r="1047" spans="1:13" ht="21" x14ac:dyDescent="0.35">
      <c r="A1047" s="8">
        <v>2018</v>
      </c>
      <c r="B1047" s="9">
        <v>5</v>
      </c>
      <c r="C1047" s="17" t="s">
        <v>47</v>
      </c>
      <c r="D1047" s="64" t="s">
        <v>100</v>
      </c>
      <c r="E1047" s="9">
        <v>7298.5099529999998</v>
      </c>
      <c r="F1047" s="9">
        <v>25</v>
      </c>
      <c r="G1047" s="9">
        <v>291.94</v>
      </c>
      <c r="H1047" s="9">
        <v>3.4</v>
      </c>
      <c r="I1047" s="9">
        <v>1</v>
      </c>
      <c r="J1047" s="9">
        <v>4</v>
      </c>
      <c r="K1047" s="62" t="s">
        <v>44</v>
      </c>
      <c r="L1047" s="63" t="str">
        <f t="shared" si="32"/>
        <v>May-2018</v>
      </c>
      <c r="M1047" s="29">
        <f t="shared" si="33"/>
        <v>43221</v>
      </c>
    </row>
    <row r="1048" spans="1:13" ht="21" x14ac:dyDescent="0.35">
      <c r="A1048" s="8">
        <v>2018</v>
      </c>
      <c r="B1048" s="9">
        <v>5</v>
      </c>
      <c r="C1048" s="17" t="s">
        <v>125</v>
      </c>
      <c r="D1048" s="64" t="s">
        <v>83</v>
      </c>
      <c r="E1048" s="9">
        <v>6618.4598919999999</v>
      </c>
      <c r="F1048" s="9">
        <v>44</v>
      </c>
      <c r="G1048" s="9">
        <v>150.41999999999999</v>
      </c>
      <c r="H1048" s="9">
        <v>4.25</v>
      </c>
      <c r="I1048" s="9">
        <v>0</v>
      </c>
      <c r="J1048" s="9">
        <v>0</v>
      </c>
      <c r="K1048" s="62" t="s">
        <v>44</v>
      </c>
      <c r="L1048" s="63" t="str">
        <f t="shared" si="32"/>
        <v>May-2018</v>
      </c>
      <c r="M1048" s="29">
        <f t="shared" si="33"/>
        <v>43221</v>
      </c>
    </row>
    <row r="1049" spans="1:13" ht="21" x14ac:dyDescent="0.35">
      <c r="A1049" s="8">
        <v>2018</v>
      </c>
      <c r="B1049" s="9">
        <v>5</v>
      </c>
      <c r="C1049" s="17" t="s">
        <v>76</v>
      </c>
      <c r="D1049" s="64" t="s">
        <v>96</v>
      </c>
      <c r="E1049" s="9">
        <v>6149.6700060000003</v>
      </c>
      <c r="F1049" s="9">
        <v>63</v>
      </c>
      <c r="G1049" s="9">
        <v>97.61</v>
      </c>
      <c r="H1049" s="9">
        <v>4.071428</v>
      </c>
      <c r="I1049" s="9">
        <v>0</v>
      </c>
      <c r="J1049" s="9">
        <v>0</v>
      </c>
      <c r="K1049" s="62" t="s">
        <v>44</v>
      </c>
      <c r="L1049" s="63" t="str">
        <f t="shared" si="32"/>
        <v>May-2018</v>
      </c>
      <c r="M1049" s="29">
        <f t="shared" si="33"/>
        <v>43221</v>
      </c>
    </row>
    <row r="1050" spans="1:13" ht="21" x14ac:dyDescent="0.35">
      <c r="A1050" s="8">
        <v>2018</v>
      </c>
      <c r="B1050" s="9">
        <v>5</v>
      </c>
      <c r="C1050" s="17" t="s">
        <v>77</v>
      </c>
      <c r="D1050" s="64" t="s">
        <v>71</v>
      </c>
      <c r="E1050" s="9">
        <v>6019.0302030000003</v>
      </c>
      <c r="F1050" s="9">
        <v>51</v>
      </c>
      <c r="G1050" s="9">
        <v>118.02</v>
      </c>
      <c r="H1050" s="9">
        <v>4.3725490000000002</v>
      </c>
      <c r="I1050" s="9">
        <v>1</v>
      </c>
      <c r="J1050" s="9">
        <v>1.96</v>
      </c>
      <c r="K1050" s="62" t="s">
        <v>44</v>
      </c>
      <c r="L1050" s="63" t="str">
        <f t="shared" si="32"/>
        <v>May-2018</v>
      </c>
      <c r="M1050" s="29">
        <f t="shared" si="33"/>
        <v>43221</v>
      </c>
    </row>
    <row r="1051" spans="1:13" ht="21" x14ac:dyDescent="0.35">
      <c r="A1051" s="8">
        <v>2018</v>
      </c>
      <c r="B1051" s="9">
        <v>5</v>
      </c>
      <c r="C1051" s="17" t="s">
        <v>94</v>
      </c>
      <c r="D1051" s="64" t="s">
        <v>50</v>
      </c>
      <c r="E1051" s="9">
        <v>5664.07</v>
      </c>
      <c r="F1051" s="9">
        <v>40</v>
      </c>
      <c r="G1051" s="9">
        <v>141.6</v>
      </c>
      <c r="H1051" s="9">
        <v>3.95</v>
      </c>
      <c r="I1051" s="9">
        <v>0</v>
      </c>
      <c r="J1051" s="9">
        <v>0</v>
      </c>
      <c r="K1051" s="62" t="s">
        <v>44</v>
      </c>
      <c r="L1051" s="63" t="str">
        <f t="shared" si="32"/>
        <v>May-2018</v>
      </c>
      <c r="M1051" s="29">
        <f t="shared" si="33"/>
        <v>43221</v>
      </c>
    </row>
    <row r="1052" spans="1:13" ht="21" x14ac:dyDescent="0.35">
      <c r="A1052" s="8">
        <v>2018</v>
      </c>
      <c r="B1052" s="9">
        <v>5</v>
      </c>
      <c r="C1052" s="17" t="s">
        <v>103</v>
      </c>
      <c r="D1052" s="64" t="s">
        <v>121</v>
      </c>
      <c r="E1052" s="9">
        <v>5477.8100489999997</v>
      </c>
      <c r="F1052" s="9">
        <v>32</v>
      </c>
      <c r="G1052" s="9">
        <v>171.18</v>
      </c>
      <c r="H1052" s="9">
        <v>4.2258060000000004</v>
      </c>
      <c r="I1052" s="9">
        <v>1</v>
      </c>
      <c r="J1052" s="9">
        <v>3.13</v>
      </c>
      <c r="K1052" s="62" t="s">
        <v>44</v>
      </c>
      <c r="L1052" s="63" t="str">
        <f t="shared" si="32"/>
        <v>May-2018</v>
      </c>
      <c r="M1052" s="29">
        <f t="shared" si="33"/>
        <v>43221</v>
      </c>
    </row>
    <row r="1053" spans="1:13" ht="21" x14ac:dyDescent="0.35">
      <c r="A1053" s="8">
        <v>2018</v>
      </c>
      <c r="B1053" s="9">
        <v>5</v>
      </c>
      <c r="C1053" s="17" t="s">
        <v>109</v>
      </c>
      <c r="D1053" s="64" t="s">
        <v>67</v>
      </c>
      <c r="E1053" s="9">
        <v>3890.989998</v>
      </c>
      <c r="F1053" s="9">
        <v>35</v>
      </c>
      <c r="G1053" s="9">
        <v>111.17</v>
      </c>
      <c r="H1053" s="9">
        <v>4.1714279999999997</v>
      </c>
      <c r="I1053" s="9">
        <v>0</v>
      </c>
      <c r="J1053" s="9">
        <v>0</v>
      </c>
      <c r="K1053" s="62" t="s">
        <v>44</v>
      </c>
      <c r="L1053" s="63" t="str">
        <f t="shared" si="32"/>
        <v>May-2018</v>
      </c>
      <c r="M1053" s="29">
        <f t="shared" si="33"/>
        <v>43221</v>
      </c>
    </row>
    <row r="1054" spans="1:13" ht="21" x14ac:dyDescent="0.35">
      <c r="A1054" s="8">
        <v>2018</v>
      </c>
      <c r="B1054" s="9">
        <v>5</v>
      </c>
      <c r="C1054" s="17" t="s">
        <v>115</v>
      </c>
      <c r="D1054" s="64" t="s">
        <v>91</v>
      </c>
      <c r="E1054" s="9">
        <v>3279.749992</v>
      </c>
      <c r="F1054" s="9">
        <v>8</v>
      </c>
      <c r="G1054" s="9">
        <v>409.97</v>
      </c>
      <c r="H1054" s="9">
        <v>4.5</v>
      </c>
      <c r="I1054" s="9">
        <v>0</v>
      </c>
      <c r="J1054" s="9">
        <v>0</v>
      </c>
      <c r="K1054" s="62" t="s">
        <v>44</v>
      </c>
      <c r="L1054" s="63" t="str">
        <f t="shared" si="32"/>
        <v>May-2018</v>
      </c>
      <c r="M1054" s="29">
        <f t="shared" si="33"/>
        <v>43221</v>
      </c>
    </row>
    <row r="1055" spans="1:13" ht="21" x14ac:dyDescent="0.35">
      <c r="A1055" s="8">
        <v>2018</v>
      </c>
      <c r="B1055" s="9">
        <v>5</v>
      </c>
      <c r="C1055" s="17" t="s">
        <v>118</v>
      </c>
      <c r="D1055" s="64" t="s">
        <v>0</v>
      </c>
      <c r="E1055" s="9">
        <v>3136.9400220000002</v>
      </c>
      <c r="F1055" s="9">
        <v>38</v>
      </c>
      <c r="G1055" s="9">
        <v>82.55</v>
      </c>
      <c r="H1055" s="9" t="s">
        <v>0</v>
      </c>
      <c r="I1055" s="9" t="s">
        <v>0</v>
      </c>
      <c r="J1055" s="9" t="s">
        <v>0</v>
      </c>
      <c r="K1055" s="62" t="s">
        <v>44</v>
      </c>
      <c r="L1055" s="63" t="str">
        <f t="shared" si="32"/>
        <v>May-2018</v>
      </c>
      <c r="M1055" s="29">
        <f t="shared" si="33"/>
        <v>43221</v>
      </c>
    </row>
    <row r="1056" spans="1:13" ht="21" x14ac:dyDescent="0.35">
      <c r="A1056" s="8">
        <v>2018</v>
      </c>
      <c r="B1056" s="9">
        <v>5</v>
      </c>
      <c r="C1056" s="17" t="s">
        <v>120</v>
      </c>
      <c r="D1056" s="64" t="s">
        <v>68</v>
      </c>
      <c r="E1056" s="9">
        <v>3055.4799950000001</v>
      </c>
      <c r="F1056" s="9">
        <v>55</v>
      </c>
      <c r="G1056" s="9">
        <v>55.55</v>
      </c>
      <c r="H1056" s="9">
        <v>4.3333329999999997</v>
      </c>
      <c r="I1056" s="9">
        <v>0</v>
      </c>
      <c r="J1056" s="9">
        <v>0</v>
      </c>
      <c r="K1056" s="62" t="s">
        <v>44</v>
      </c>
      <c r="L1056" s="63" t="str">
        <f t="shared" si="32"/>
        <v>May-2018</v>
      </c>
      <c r="M1056" s="29">
        <f t="shared" si="33"/>
        <v>43221</v>
      </c>
    </row>
    <row r="1057" spans="1:13" ht="21" x14ac:dyDescent="0.35">
      <c r="A1057" s="8">
        <v>2018</v>
      </c>
      <c r="B1057" s="9">
        <v>5</v>
      </c>
      <c r="C1057" s="17" t="s">
        <v>124</v>
      </c>
      <c r="D1057" s="64" t="s">
        <v>104</v>
      </c>
      <c r="E1057" s="9">
        <v>2790.9799859999998</v>
      </c>
      <c r="F1057" s="9">
        <v>34</v>
      </c>
      <c r="G1057" s="9">
        <v>82.09</v>
      </c>
      <c r="H1057" s="9">
        <v>4.2352939999999997</v>
      </c>
      <c r="I1057" s="9">
        <v>0</v>
      </c>
      <c r="J1057" s="9">
        <v>0</v>
      </c>
      <c r="K1057" s="62" t="s">
        <v>44</v>
      </c>
      <c r="L1057" s="63" t="str">
        <f t="shared" si="32"/>
        <v>May-2018</v>
      </c>
      <c r="M1057" s="29">
        <f t="shared" si="33"/>
        <v>43221</v>
      </c>
    </row>
    <row r="1058" spans="1:13" ht="21" x14ac:dyDescent="0.35">
      <c r="A1058" s="8">
        <v>2018</v>
      </c>
      <c r="B1058" s="9">
        <v>5</v>
      </c>
      <c r="C1058" s="17" t="s">
        <v>42</v>
      </c>
      <c r="D1058" s="64" t="s">
        <v>99</v>
      </c>
      <c r="E1058" s="9">
        <v>2776.6000210000002</v>
      </c>
      <c r="F1058" s="9">
        <v>19</v>
      </c>
      <c r="G1058" s="9">
        <v>146.13999999999999</v>
      </c>
      <c r="H1058" s="9">
        <v>3.5789469999999999</v>
      </c>
      <c r="I1058" s="9">
        <v>0</v>
      </c>
      <c r="J1058" s="9">
        <v>0</v>
      </c>
      <c r="K1058" s="62" t="s">
        <v>44</v>
      </c>
      <c r="L1058" s="63" t="str">
        <f t="shared" si="32"/>
        <v>May-2018</v>
      </c>
      <c r="M1058" s="29">
        <f t="shared" si="33"/>
        <v>43221</v>
      </c>
    </row>
    <row r="1059" spans="1:13" ht="21" x14ac:dyDescent="0.35">
      <c r="A1059" s="8">
        <v>2018</v>
      </c>
      <c r="B1059" s="9">
        <v>5</v>
      </c>
      <c r="C1059" s="17" t="s">
        <v>47</v>
      </c>
      <c r="D1059" s="64" t="s">
        <v>82</v>
      </c>
      <c r="E1059" s="9">
        <v>2721.080019</v>
      </c>
      <c r="F1059" s="9">
        <v>13</v>
      </c>
      <c r="G1059" s="9">
        <v>209.31</v>
      </c>
      <c r="H1059" s="9">
        <v>4.0769229999999999</v>
      </c>
      <c r="I1059" s="9">
        <v>0</v>
      </c>
      <c r="J1059" s="9">
        <v>0</v>
      </c>
      <c r="K1059" s="62" t="s">
        <v>44</v>
      </c>
      <c r="L1059" s="63" t="str">
        <f t="shared" si="32"/>
        <v>May-2018</v>
      </c>
      <c r="M1059" s="29">
        <f t="shared" si="33"/>
        <v>43221</v>
      </c>
    </row>
    <row r="1060" spans="1:13" ht="21" x14ac:dyDescent="0.35">
      <c r="A1060" s="8">
        <v>2018</v>
      </c>
      <c r="B1060" s="9">
        <v>5</v>
      </c>
      <c r="C1060" s="17" t="s">
        <v>125</v>
      </c>
      <c r="D1060" s="64" t="s">
        <v>69</v>
      </c>
      <c r="E1060" s="9">
        <v>2697.679987</v>
      </c>
      <c r="F1060" s="9">
        <v>20</v>
      </c>
      <c r="G1060" s="9">
        <v>134.88</v>
      </c>
      <c r="H1060" s="9">
        <v>3.75</v>
      </c>
      <c r="I1060" s="9">
        <v>0</v>
      </c>
      <c r="J1060" s="9">
        <v>0</v>
      </c>
      <c r="K1060" s="62" t="s">
        <v>44</v>
      </c>
      <c r="L1060" s="63" t="str">
        <f t="shared" si="32"/>
        <v>May-2018</v>
      </c>
      <c r="M1060" s="29">
        <f t="shared" si="33"/>
        <v>43221</v>
      </c>
    </row>
    <row r="1061" spans="1:13" ht="21" x14ac:dyDescent="0.35">
      <c r="A1061" s="8">
        <v>2018</v>
      </c>
      <c r="B1061" s="9">
        <v>5</v>
      </c>
      <c r="C1061" s="17" t="s">
        <v>76</v>
      </c>
      <c r="D1061" s="64" t="s">
        <v>105</v>
      </c>
      <c r="E1061" s="9">
        <v>2691.8599880000002</v>
      </c>
      <c r="F1061" s="9">
        <v>35</v>
      </c>
      <c r="G1061" s="9">
        <v>76.91</v>
      </c>
      <c r="H1061" s="9">
        <v>3.914285</v>
      </c>
      <c r="I1061" s="9">
        <v>0</v>
      </c>
      <c r="J1061" s="9">
        <v>0</v>
      </c>
      <c r="K1061" s="62" t="s">
        <v>44</v>
      </c>
      <c r="L1061" s="63" t="str">
        <f t="shared" si="32"/>
        <v>May-2018</v>
      </c>
      <c r="M1061" s="29">
        <f t="shared" si="33"/>
        <v>43221</v>
      </c>
    </row>
    <row r="1062" spans="1:13" ht="21" x14ac:dyDescent="0.35">
      <c r="A1062" s="8">
        <v>2018</v>
      </c>
      <c r="B1062" s="9">
        <v>5</v>
      </c>
      <c r="C1062" s="17" t="s">
        <v>77</v>
      </c>
      <c r="D1062" s="64" t="s">
        <v>88</v>
      </c>
      <c r="E1062" s="9">
        <v>2310.0899890000001</v>
      </c>
      <c r="F1062" s="9">
        <v>10</v>
      </c>
      <c r="G1062" s="9">
        <v>231.01</v>
      </c>
      <c r="H1062" s="9">
        <v>3.7</v>
      </c>
      <c r="I1062" s="9">
        <v>0</v>
      </c>
      <c r="J1062" s="9">
        <v>0</v>
      </c>
      <c r="K1062" s="62" t="s">
        <v>44</v>
      </c>
      <c r="L1062" s="63" t="str">
        <f t="shared" si="32"/>
        <v>May-2018</v>
      </c>
      <c r="M1062" s="29">
        <f t="shared" si="33"/>
        <v>43221</v>
      </c>
    </row>
    <row r="1063" spans="1:13" ht="21" x14ac:dyDescent="0.35">
      <c r="A1063" s="8">
        <v>2018</v>
      </c>
      <c r="B1063" s="9">
        <v>5</v>
      </c>
      <c r="C1063" s="17" t="s">
        <v>94</v>
      </c>
      <c r="D1063" s="64" t="s">
        <v>102</v>
      </c>
      <c r="E1063" s="9">
        <v>2277.2899779999998</v>
      </c>
      <c r="F1063" s="9">
        <v>17</v>
      </c>
      <c r="G1063" s="9">
        <v>133.96</v>
      </c>
      <c r="H1063" s="9">
        <v>4.5294109999999996</v>
      </c>
      <c r="I1063" s="9">
        <v>0</v>
      </c>
      <c r="J1063" s="9">
        <v>0</v>
      </c>
      <c r="K1063" s="62" t="s">
        <v>44</v>
      </c>
      <c r="L1063" s="63" t="str">
        <f t="shared" si="32"/>
        <v>May-2018</v>
      </c>
      <c r="M1063" s="29">
        <f t="shared" si="33"/>
        <v>43221</v>
      </c>
    </row>
    <row r="1064" spans="1:13" ht="21" x14ac:dyDescent="0.35">
      <c r="A1064" s="8">
        <v>2018</v>
      </c>
      <c r="B1064" s="9">
        <v>5</v>
      </c>
      <c r="C1064" s="17" t="s">
        <v>103</v>
      </c>
      <c r="D1064" s="64" t="s">
        <v>54</v>
      </c>
      <c r="E1064" s="9">
        <v>2051.1999890000002</v>
      </c>
      <c r="F1064" s="9">
        <v>14</v>
      </c>
      <c r="G1064" s="9">
        <v>146.51</v>
      </c>
      <c r="H1064" s="9">
        <v>4</v>
      </c>
      <c r="I1064" s="9">
        <v>1</v>
      </c>
      <c r="J1064" s="9">
        <v>7.14</v>
      </c>
      <c r="K1064" s="62" t="s">
        <v>44</v>
      </c>
      <c r="L1064" s="63" t="str">
        <f t="shared" si="32"/>
        <v>May-2018</v>
      </c>
      <c r="M1064" s="29">
        <f t="shared" si="33"/>
        <v>43221</v>
      </c>
    </row>
    <row r="1065" spans="1:13" ht="21" x14ac:dyDescent="0.35">
      <c r="A1065" s="8">
        <v>2018</v>
      </c>
      <c r="B1065" s="9">
        <v>5</v>
      </c>
      <c r="C1065" s="17" t="s">
        <v>109</v>
      </c>
      <c r="D1065" s="64" t="s">
        <v>127</v>
      </c>
      <c r="E1065" s="9">
        <v>1958</v>
      </c>
      <c r="F1065" s="9">
        <v>2</v>
      </c>
      <c r="G1065" s="9">
        <v>979</v>
      </c>
      <c r="H1065" s="9">
        <v>5</v>
      </c>
      <c r="I1065" s="9">
        <v>0</v>
      </c>
      <c r="J1065" s="9">
        <v>0</v>
      </c>
      <c r="K1065" s="62" t="s">
        <v>44</v>
      </c>
      <c r="L1065" s="63" t="str">
        <f t="shared" si="32"/>
        <v>May-2018</v>
      </c>
      <c r="M1065" s="29">
        <f t="shared" si="33"/>
        <v>43221</v>
      </c>
    </row>
    <row r="1066" spans="1:13" ht="21" x14ac:dyDescent="0.35">
      <c r="A1066" s="8">
        <v>2018</v>
      </c>
      <c r="B1066" s="9">
        <v>5</v>
      </c>
      <c r="C1066" s="17" t="s">
        <v>115</v>
      </c>
      <c r="D1066" s="64" t="s">
        <v>63</v>
      </c>
      <c r="E1066" s="9">
        <v>1946.0999979999999</v>
      </c>
      <c r="F1066" s="9">
        <v>12</v>
      </c>
      <c r="G1066" s="9">
        <v>162.16999999999999</v>
      </c>
      <c r="H1066" s="9">
        <v>4</v>
      </c>
      <c r="I1066" s="9">
        <v>1</v>
      </c>
      <c r="J1066" s="9">
        <v>8.33</v>
      </c>
      <c r="K1066" s="62" t="s">
        <v>44</v>
      </c>
      <c r="L1066" s="63" t="str">
        <f t="shared" si="32"/>
        <v>May-2018</v>
      </c>
      <c r="M1066" s="29">
        <f t="shared" si="33"/>
        <v>43221</v>
      </c>
    </row>
    <row r="1067" spans="1:13" ht="21" x14ac:dyDescent="0.35">
      <c r="A1067" s="8">
        <v>2018</v>
      </c>
      <c r="B1067" s="9">
        <v>5</v>
      </c>
      <c r="C1067" s="17" t="s">
        <v>118</v>
      </c>
      <c r="D1067" s="64" t="s">
        <v>74</v>
      </c>
      <c r="E1067" s="9">
        <v>1582.699989</v>
      </c>
      <c r="F1067" s="9">
        <v>10</v>
      </c>
      <c r="G1067" s="9">
        <v>158.27000000000001</v>
      </c>
      <c r="H1067" s="9">
        <v>4.5</v>
      </c>
      <c r="I1067" s="9">
        <v>0</v>
      </c>
      <c r="J1067" s="9">
        <v>0</v>
      </c>
      <c r="K1067" s="62" t="s">
        <v>44</v>
      </c>
      <c r="L1067" s="63" t="str">
        <f t="shared" si="32"/>
        <v>May-2018</v>
      </c>
      <c r="M1067" s="29">
        <f t="shared" si="33"/>
        <v>43221</v>
      </c>
    </row>
    <row r="1068" spans="1:13" ht="21" x14ac:dyDescent="0.35">
      <c r="A1068" s="8">
        <v>2018</v>
      </c>
      <c r="B1068" s="9">
        <v>5</v>
      </c>
      <c r="C1068" s="17" t="s">
        <v>120</v>
      </c>
      <c r="D1068" s="64" t="s">
        <v>72</v>
      </c>
      <c r="E1068" s="9">
        <v>1542.93</v>
      </c>
      <c r="F1068" s="9">
        <v>36</v>
      </c>
      <c r="G1068" s="9">
        <v>42.86</v>
      </c>
      <c r="H1068" s="9">
        <v>4.4444439999999998</v>
      </c>
      <c r="I1068" s="9">
        <v>0</v>
      </c>
      <c r="J1068" s="9">
        <v>0</v>
      </c>
      <c r="K1068" s="62" t="s">
        <v>44</v>
      </c>
      <c r="L1068" s="63" t="str">
        <f t="shared" si="32"/>
        <v>May-2018</v>
      </c>
      <c r="M1068" s="29">
        <f t="shared" si="33"/>
        <v>43221</v>
      </c>
    </row>
    <row r="1069" spans="1:13" ht="21" x14ac:dyDescent="0.35">
      <c r="A1069" s="8">
        <v>2018</v>
      </c>
      <c r="B1069" s="9">
        <v>5</v>
      </c>
      <c r="C1069" s="17" t="s">
        <v>124</v>
      </c>
      <c r="D1069" s="64" t="s">
        <v>89</v>
      </c>
      <c r="E1069" s="9">
        <v>1484.979996</v>
      </c>
      <c r="F1069" s="9">
        <v>5</v>
      </c>
      <c r="G1069" s="9">
        <v>297</v>
      </c>
      <c r="H1069" s="9">
        <v>4.2</v>
      </c>
      <c r="I1069" s="9">
        <v>0</v>
      </c>
      <c r="J1069" s="9">
        <v>0</v>
      </c>
      <c r="K1069" s="62" t="s">
        <v>44</v>
      </c>
      <c r="L1069" s="63" t="str">
        <f t="shared" si="32"/>
        <v>May-2018</v>
      </c>
      <c r="M1069" s="29">
        <f t="shared" si="33"/>
        <v>43221</v>
      </c>
    </row>
    <row r="1070" spans="1:13" ht="21" x14ac:dyDescent="0.35">
      <c r="A1070" s="8">
        <v>2018</v>
      </c>
      <c r="B1070" s="9">
        <v>5</v>
      </c>
      <c r="C1070" s="17" t="s">
        <v>42</v>
      </c>
      <c r="D1070" s="64" t="s">
        <v>106</v>
      </c>
      <c r="E1070" s="9">
        <v>1239.44001</v>
      </c>
      <c r="F1070" s="9">
        <v>15</v>
      </c>
      <c r="G1070" s="9">
        <v>82.63</v>
      </c>
      <c r="H1070" s="9">
        <v>4.8666660000000004</v>
      </c>
      <c r="I1070" s="9">
        <v>0</v>
      </c>
      <c r="J1070" s="9">
        <v>0</v>
      </c>
      <c r="K1070" s="62" t="s">
        <v>44</v>
      </c>
      <c r="L1070" s="63" t="str">
        <f t="shared" si="32"/>
        <v>May-2018</v>
      </c>
      <c r="M1070" s="29">
        <f t="shared" si="33"/>
        <v>43221</v>
      </c>
    </row>
    <row r="1071" spans="1:13" ht="21" x14ac:dyDescent="0.35">
      <c r="A1071" s="8">
        <v>2018</v>
      </c>
      <c r="B1071" s="9">
        <v>5</v>
      </c>
      <c r="C1071" s="17" t="s">
        <v>47</v>
      </c>
      <c r="D1071" s="64" t="s">
        <v>98</v>
      </c>
      <c r="E1071" s="9">
        <v>1073.2800050000001</v>
      </c>
      <c r="F1071" s="9">
        <v>13</v>
      </c>
      <c r="G1071" s="9">
        <v>82.56</v>
      </c>
      <c r="H1071" s="9">
        <v>4.461538</v>
      </c>
      <c r="I1071" s="9">
        <v>0</v>
      </c>
      <c r="J1071" s="9">
        <v>0</v>
      </c>
      <c r="K1071" s="62" t="s">
        <v>44</v>
      </c>
      <c r="L1071" s="63" t="str">
        <f t="shared" si="32"/>
        <v>May-2018</v>
      </c>
      <c r="M1071" s="29">
        <f t="shared" si="33"/>
        <v>43221</v>
      </c>
    </row>
    <row r="1072" spans="1:13" ht="21" x14ac:dyDescent="0.35">
      <c r="A1072" s="8">
        <v>2018</v>
      </c>
      <c r="B1072" s="9">
        <v>5</v>
      </c>
      <c r="C1072" s="17" t="s">
        <v>125</v>
      </c>
      <c r="D1072" s="64" t="s">
        <v>59</v>
      </c>
      <c r="E1072" s="9">
        <v>957.45001409999998</v>
      </c>
      <c r="F1072" s="9">
        <v>13</v>
      </c>
      <c r="G1072" s="9">
        <v>73.650000000000006</v>
      </c>
      <c r="H1072" s="9">
        <v>3.6153840000000002</v>
      </c>
      <c r="I1072" s="9">
        <v>0</v>
      </c>
      <c r="J1072" s="9">
        <v>0</v>
      </c>
      <c r="K1072" s="62" t="s">
        <v>44</v>
      </c>
      <c r="L1072" s="63" t="str">
        <f t="shared" si="32"/>
        <v>May-2018</v>
      </c>
      <c r="M1072" s="29">
        <f t="shared" si="33"/>
        <v>43221</v>
      </c>
    </row>
    <row r="1073" spans="1:13" ht="21" x14ac:dyDescent="0.35">
      <c r="A1073" s="8">
        <v>2018</v>
      </c>
      <c r="B1073" s="9">
        <v>5</v>
      </c>
      <c r="C1073" s="17" t="s">
        <v>76</v>
      </c>
      <c r="D1073" s="64" t="s">
        <v>93</v>
      </c>
      <c r="E1073" s="9">
        <v>729.00000190000003</v>
      </c>
      <c r="F1073" s="9">
        <v>5</v>
      </c>
      <c r="G1073" s="9">
        <v>145.80000000000001</v>
      </c>
      <c r="H1073" s="9">
        <v>3.8</v>
      </c>
      <c r="I1073" s="9">
        <v>0</v>
      </c>
      <c r="J1073" s="9">
        <v>0</v>
      </c>
      <c r="K1073" s="62" t="s">
        <v>44</v>
      </c>
      <c r="L1073" s="63" t="str">
        <f t="shared" si="32"/>
        <v>May-2018</v>
      </c>
      <c r="M1073" s="29">
        <f t="shared" si="33"/>
        <v>43221</v>
      </c>
    </row>
    <row r="1074" spans="1:13" ht="21" x14ac:dyDescent="0.35">
      <c r="A1074" s="8">
        <v>2018</v>
      </c>
      <c r="B1074" s="9">
        <v>5</v>
      </c>
      <c r="C1074" s="17" t="s">
        <v>77</v>
      </c>
      <c r="D1074" s="64" t="s">
        <v>107</v>
      </c>
      <c r="E1074" s="9">
        <v>683.49999089999994</v>
      </c>
      <c r="F1074" s="9">
        <v>6</v>
      </c>
      <c r="G1074" s="9">
        <v>113.92</v>
      </c>
      <c r="H1074" s="9">
        <v>3.8333330000000001</v>
      </c>
      <c r="I1074" s="9">
        <v>0</v>
      </c>
      <c r="J1074" s="9">
        <v>0</v>
      </c>
      <c r="K1074" s="62" t="s">
        <v>44</v>
      </c>
      <c r="L1074" s="63" t="str">
        <f t="shared" si="32"/>
        <v>May-2018</v>
      </c>
      <c r="M1074" s="29">
        <f t="shared" si="33"/>
        <v>43221</v>
      </c>
    </row>
    <row r="1075" spans="1:13" ht="21" x14ac:dyDescent="0.35">
      <c r="A1075" s="8">
        <v>2018</v>
      </c>
      <c r="B1075" s="9">
        <v>5</v>
      </c>
      <c r="C1075" s="17" t="s">
        <v>94</v>
      </c>
      <c r="D1075" s="64" t="s">
        <v>113</v>
      </c>
      <c r="E1075" s="9">
        <v>524.53000450000002</v>
      </c>
      <c r="F1075" s="9">
        <v>6</v>
      </c>
      <c r="G1075" s="9">
        <v>87.42</v>
      </c>
      <c r="H1075" s="9">
        <v>5</v>
      </c>
      <c r="I1075" s="9">
        <v>0</v>
      </c>
      <c r="J1075" s="9">
        <v>0</v>
      </c>
      <c r="K1075" s="62" t="s">
        <v>44</v>
      </c>
      <c r="L1075" s="63" t="str">
        <f t="shared" si="32"/>
        <v>May-2018</v>
      </c>
      <c r="M1075" s="29">
        <f t="shared" si="33"/>
        <v>43221</v>
      </c>
    </row>
    <row r="1076" spans="1:13" ht="21" x14ac:dyDescent="0.35">
      <c r="A1076" s="8">
        <v>2018</v>
      </c>
      <c r="B1076" s="9">
        <v>5</v>
      </c>
      <c r="C1076" s="17" t="s">
        <v>103</v>
      </c>
      <c r="D1076" s="64" t="s">
        <v>92</v>
      </c>
      <c r="E1076" s="9">
        <v>439.93999480000002</v>
      </c>
      <c r="F1076" s="9">
        <v>6</v>
      </c>
      <c r="G1076" s="9">
        <v>73.319999999999993</v>
      </c>
      <c r="H1076" s="9">
        <v>4</v>
      </c>
      <c r="I1076" s="9">
        <v>0</v>
      </c>
      <c r="J1076" s="9">
        <v>0</v>
      </c>
      <c r="K1076" s="62" t="s">
        <v>44</v>
      </c>
      <c r="L1076" s="63" t="str">
        <f t="shared" si="32"/>
        <v>May-2018</v>
      </c>
      <c r="M1076" s="29">
        <f t="shared" si="33"/>
        <v>43221</v>
      </c>
    </row>
    <row r="1077" spans="1:13" ht="21" x14ac:dyDescent="0.35">
      <c r="A1077" s="8">
        <v>2018</v>
      </c>
      <c r="B1077" s="9">
        <v>5</v>
      </c>
      <c r="C1077" s="17" t="s">
        <v>109</v>
      </c>
      <c r="D1077" s="64" t="s">
        <v>110</v>
      </c>
      <c r="E1077" s="9">
        <v>417.90000149999997</v>
      </c>
      <c r="F1077" s="9">
        <v>5</v>
      </c>
      <c r="G1077" s="9">
        <v>83.58</v>
      </c>
      <c r="H1077" s="9">
        <v>4.8</v>
      </c>
      <c r="I1077" s="9">
        <v>0</v>
      </c>
      <c r="J1077" s="9">
        <v>0</v>
      </c>
      <c r="K1077" s="62" t="s">
        <v>44</v>
      </c>
      <c r="L1077" s="63" t="str">
        <f t="shared" si="32"/>
        <v>May-2018</v>
      </c>
      <c r="M1077" s="29">
        <f t="shared" si="33"/>
        <v>43221</v>
      </c>
    </row>
    <row r="1078" spans="1:13" ht="21" x14ac:dyDescent="0.35">
      <c r="A1078" s="8">
        <v>2018</v>
      </c>
      <c r="B1078" s="9">
        <v>5</v>
      </c>
      <c r="C1078" s="17" t="s">
        <v>115</v>
      </c>
      <c r="D1078" s="64" t="s">
        <v>101</v>
      </c>
      <c r="E1078" s="9">
        <v>410.92000009999998</v>
      </c>
      <c r="F1078" s="9">
        <v>9</v>
      </c>
      <c r="G1078" s="9">
        <v>45.66</v>
      </c>
      <c r="H1078" s="9">
        <v>4.8888879999999997</v>
      </c>
      <c r="I1078" s="9">
        <v>0</v>
      </c>
      <c r="J1078" s="9">
        <v>0</v>
      </c>
      <c r="K1078" s="62" t="s">
        <v>44</v>
      </c>
      <c r="L1078" s="63" t="str">
        <f t="shared" si="32"/>
        <v>May-2018</v>
      </c>
      <c r="M1078" s="29">
        <f t="shared" si="33"/>
        <v>43221</v>
      </c>
    </row>
    <row r="1079" spans="1:13" ht="21" x14ac:dyDescent="0.35">
      <c r="A1079" s="8">
        <v>2018</v>
      </c>
      <c r="B1079" s="9">
        <v>5</v>
      </c>
      <c r="C1079" s="17" t="s">
        <v>118</v>
      </c>
      <c r="D1079" s="64" t="s">
        <v>87</v>
      </c>
      <c r="E1079" s="9">
        <v>207.4000063</v>
      </c>
      <c r="F1079" s="9">
        <v>5</v>
      </c>
      <c r="G1079" s="9">
        <v>41.48</v>
      </c>
      <c r="H1079" s="9">
        <v>4.4000000000000004</v>
      </c>
      <c r="I1079" s="9">
        <v>0</v>
      </c>
      <c r="J1079" s="9">
        <v>0</v>
      </c>
      <c r="K1079" s="62" t="s">
        <v>44</v>
      </c>
      <c r="L1079" s="63" t="str">
        <f t="shared" si="32"/>
        <v>May-2018</v>
      </c>
      <c r="M1079" s="29">
        <f t="shared" si="33"/>
        <v>43221</v>
      </c>
    </row>
    <row r="1080" spans="1:13" ht="21" x14ac:dyDescent="0.35">
      <c r="A1080" s="8">
        <v>2018</v>
      </c>
      <c r="B1080" s="9">
        <v>5</v>
      </c>
      <c r="C1080" s="17" t="s">
        <v>120</v>
      </c>
      <c r="D1080" s="64" t="s">
        <v>75</v>
      </c>
      <c r="E1080" s="9">
        <v>129.9900055</v>
      </c>
      <c r="F1080" s="9">
        <v>1</v>
      </c>
      <c r="G1080" s="9">
        <v>129.99</v>
      </c>
      <c r="H1080" s="9">
        <v>5</v>
      </c>
      <c r="I1080" s="9">
        <v>0</v>
      </c>
      <c r="J1080" s="9">
        <v>0</v>
      </c>
      <c r="K1080" s="62" t="s">
        <v>44</v>
      </c>
      <c r="L1080" s="63" t="str">
        <f t="shared" si="32"/>
        <v>May-2018</v>
      </c>
      <c r="M1080" s="29">
        <f t="shared" si="33"/>
        <v>43221</v>
      </c>
    </row>
    <row r="1081" spans="1:13" ht="21" x14ac:dyDescent="0.35">
      <c r="A1081" s="8">
        <v>2018</v>
      </c>
      <c r="B1081" s="9">
        <v>5</v>
      </c>
      <c r="C1081" s="17" t="s">
        <v>124</v>
      </c>
      <c r="D1081" s="64" t="s">
        <v>70</v>
      </c>
      <c r="E1081" s="9">
        <v>117</v>
      </c>
      <c r="F1081" s="9">
        <v>3</v>
      </c>
      <c r="G1081" s="9">
        <v>39</v>
      </c>
      <c r="H1081" s="9">
        <v>4.6666660000000002</v>
      </c>
      <c r="I1081" s="9">
        <v>0</v>
      </c>
      <c r="J1081" s="9">
        <v>0</v>
      </c>
      <c r="K1081" s="62" t="s">
        <v>44</v>
      </c>
      <c r="L1081" s="63" t="str">
        <f t="shared" si="32"/>
        <v>May-2018</v>
      </c>
      <c r="M1081" s="29">
        <f t="shared" si="33"/>
        <v>43221</v>
      </c>
    </row>
    <row r="1082" spans="1:13" ht="21" x14ac:dyDescent="0.35">
      <c r="A1082" s="8">
        <v>2018</v>
      </c>
      <c r="B1082" s="9">
        <v>5</v>
      </c>
      <c r="C1082" s="17" t="s">
        <v>42</v>
      </c>
      <c r="D1082" s="64" t="s">
        <v>123</v>
      </c>
      <c r="E1082" s="9">
        <v>100.6999989</v>
      </c>
      <c r="F1082" s="9">
        <v>3</v>
      </c>
      <c r="G1082" s="9">
        <v>33.57</v>
      </c>
      <c r="H1082" s="9">
        <v>3.6666660000000002</v>
      </c>
      <c r="I1082" s="9">
        <v>0</v>
      </c>
      <c r="J1082" s="9">
        <v>0</v>
      </c>
      <c r="K1082" s="62" t="s">
        <v>44</v>
      </c>
      <c r="L1082" s="63" t="str">
        <f t="shared" si="32"/>
        <v>May-2018</v>
      </c>
      <c r="M1082" s="29">
        <f t="shared" si="33"/>
        <v>43221</v>
      </c>
    </row>
    <row r="1083" spans="1:13" ht="21" x14ac:dyDescent="0.35">
      <c r="A1083" s="8">
        <v>2018</v>
      </c>
      <c r="B1083" s="9">
        <v>5</v>
      </c>
      <c r="C1083" s="17" t="s">
        <v>47</v>
      </c>
      <c r="D1083" s="64" t="s">
        <v>117</v>
      </c>
      <c r="E1083" s="9">
        <v>89.800003050000001</v>
      </c>
      <c r="F1083" s="9">
        <v>1</v>
      </c>
      <c r="G1083" s="9">
        <v>89.8</v>
      </c>
      <c r="H1083" s="9">
        <v>4</v>
      </c>
      <c r="I1083" s="9">
        <v>0</v>
      </c>
      <c r="J1083" s="9">
        <v>0</v>
      </c>
      <c r="K1083" s="62" t="s">
        <v>44</v>
      </c>
      <c r="L1083" s="63" t="str">
        <f t="shared" si="32"/>
        <v>May-2018</v>
      </c>
      <c r="M1083" s="29">
        <f t="shared" si="33"/>
        <v>43221</v>
      </c>
    </row>
    <row r="1084" spans="1:13" ht="21" x14ac:dyDescent="0.35">
      <c r="A1084" s="8">
        <v>2018</v>
      </c>
      <c r="B1084" s="9">
        <v>5</v>
      </c>
      <c r="C1084" s="17" t="s">
        <v>125</v>
      </c>
      <c r="D1084" s="64" t="s">
        <v>95</v>
      </c>
      <c r="E1084" s="9">
        <v>49.900001529999997</v>
      </c>
      <c r="F1084" s="9">
        <v>1</v>
      </c>
      <c r="G1084" s="9">
        <v>49.9</v>
      </c>
      <c r="H1084" s="9">
        <v>5</v>
      </c>
      <c r="I1084" s="9">
        <v>0</v>
      </c>
      <c r="J1084" s="9">
        <v>0</v>
      </c>
      <c r="K1084" s="62" t="s">
        <v>44</v>
      </c>
      <c r="L1084" s="63" t="str">
        <f t="shared" si="32"/>
        <v>May-2018</v>
      </c>
      <c r="M1084" s="29">
        <f t="shared" si="33"/>
        <v>43221</v>
      </c>
    </row>
    <row r="1085" spans="1:13" ht="21" x14ac:dyDescent="0.35">
      <c r="A1085" s="8">
        <v>2018</v>
      </c>
      <c r="B1085" s="9">
        <v>5</v>
      </c>
      <c r="C1085" s="17" t="s">
        <v>76</v>
      </c>
      <c r="D1085" s="64" t="s">
        <v>126</v>
      </c>
      <c r="E1085" s="9">
        <v>16.399999619999999</v>
      </c>
      <c r="F1085" s="9">
        <v>1</v>
      </c>
      <c r="G1085" s="9">
        <v>16.399999999999999</v>
      </c>
      <c r="H1085" s="9">
        <v>3</v>
      </c>
      <c r="I1085" s="9">
        <v>0</v>
      </c>
      <c r="J1085" s="9">
        <v>0</v>
      </c>
      <c r="K1085" s="62" t="s">
        <v>44</v>
      </c>
      <c r="L1085" s="63" t="str">
        <f t="shared" si="32"/>
        <v>May-2018</v>
      </c>
      <c r="M1085" s="29">
        <f t="shared" si="33"/>
        <v>43221</v>
      </c>
    </row>
    <row r="1086" spans="1:13" ht="21" x14ac:dyDescent="0.35">
      <c r="A1086" s="8">
        <v>2018</v>
      </c>
      <c r="B1086" s="9">
        <v>6</v>
      </c>
      <c r="C1086" s="17" t="s">
        <v>77</v>
      </c>
      <c r="D1086" s="64" t="s">
        <v>43</v>
      </c>
      <c r="E1086" s="9">
        <v>107908.8199</v>
      </c>
      <c r="F1086" s="9">
        <v>799</v>
      </c>
      <c r="G1086" s="9">
        <v>135.05000000000001</v>
      </c>
      <c r="H1086" s="9">
        <v>4.3949680000000004</v>
      </c>
      <c r="I1086" s="9">
        <v>1</v>
      </c>
      <c r="J1086" s="9">
        <v>0.13</v>
      </c>
      <c r="K1086" s="62" t="s">
        <v>44</v>
      </c>
      <c r="L1086" s="63" t="str">
        <f t="shared" si="32"/>
        <v>Jun-2018</v>
      </c>
      <c r="M1086" s="29">
        <f t="shared" si="33"/>
        <v>43252</v>
      </c>
    </row>
    <row r="1087" spans="1:13" ht="21" x14ac:dyDescent="0.35">
      <c r="A1087" s="8">
        <v>2018</v>
      </c>
      <c r="B1087" s="9">
        <v>6</v>
      </c>
      <c r="C1087" s="17" t="s">
        <v>94</v>
      </c>
      <c r="D1087" s="64" t="s">
        <v>51</v>
      </c>
      <c r="E1087" s="9">
        <v>86885.56005</v>
      </c>
      <c r="F1087" s="9">
        <v>448</v>
      </c>
      <c r="G1087" s="9">
        <v>193.94</v>
      </c>
      <c r="H1087" s="9">
        <v>4.1793719999999999</v>
      </c>
      <c r="I1087" s="9">
        <v>0</v>
      </c>
      <c r="J1087" s="9">
        <v>0</v>
      </c>
      <c r="K1087" s="62" t="s">
        <v>44</v>
      </c>
      <c r="L1087" s="63" t="str">
        <f t="shared" si="32"/>
        <v>Jun-2018</v>
      </c>
      <c r="M1087" s="29">
        <f t="shared" si="33"/>
        <v>43252</v>
      </c>
    </row>
    <row r="1088" spans="1:13" ht="21" x14ac:dyDescent="0.35">
      <c r="A1088" s="8">
        <v>2018</v>
      </c>
      <c r="B1088" s="9">
        <v>6</v>
      </c>
      <c r="C1088" s="17" t="s">
        <v>103</v>
      </c>
      <c r="D1088" s="64" t="s">
        <v>66</v>
      </c>
      <c r="E1088" s="9">
        <v>71565.48</v>
      </c>
      <c r="F1088" s="9">
        <v>657</v>
      </c>
      <c r="G1088" s="9">
        <v>108.93</v>
      </c>
      <c r="H1088" s="9">
        <v>4.0781010000000002</v>
      </c>
      <c r="I1088" s="9">
        <v>1</v>
      </c>
      <c r="J1088" s="9">
        <v>0.15</v>
      </c>
      <c r="K1088" s="62" t="s">
        <v>44</v>
      </c>
      <c r="L1088" s="63" t="str">
        <f t="shared" si="32"/>
        <v>Jun-2018</v>
      </c>
      <c r="M1088" s="29">
        <f t="shared" si="33"/>
        <v>43252</v>
      </c>
    </row>
    <row r="1089" spans="1:13" ht="21" x14ac:dyDescent="0.35">
      <c r="A1089" s="8">
        <v>2018</v>
      </c>
      <c r="B1089" s="9">
        <v>6</v>
      </c>
      <c r="C1089" s="17" t="s">
        <v>109</v>
      </c>
      <c r="D1089" s="64" t="s">
        <v>61</v>
      </c>
      <c r="E1089" s="9">
        <v>56825.450040000003</v>
      </c>
      <c r="F1089" s="9">
        <v>470</v>
      </c>
      <c r="G1089" s="9">
        <v>120.91</v>
      </c>
      <c r="H1089" s="9">
        <v>4.1820120000000003</v>
      </c>
      <c r="I1089" s="9">
        <v>4</v>
      </c>
      <c r="J1089" s="9">
        <v>0.85</v>
      </c>
      <c r="K1089" s="62" t="s">
        <v>44</v>
      </c>
      <c r="L1089" s="63" t="str">
        <f t="shared" si="32"/>
        <v>Jun-2018</v>
      </c>
      <c r="M1089" s="29">
        <f t="shared" si="33"/>
        <v>43252</v>
      </c>
    </row>
    <row r="1090" spans="1:13" ht="21" x14ac:dyDescent="0.35">
      <c r="A1090" s="8">
        <v>2018</v>
      </c>
      <c r="B1090" s="9">
        <v>6</v>
      </c>
      <c r="C1090" s="17" t="s">
        <v>115</v>
      </c>
      <c r="D1090" s="64" t="s">
        <v>52</v>
      </c>
      <c r="E1090" s="9">
        <v>45851.00993</v>
      </c>
      <c r="F1090" s="9">
        <v>377</v>
      </c>
      <c r="G1090" s="9">
        <v>121.62</v>
      </c>
      <c r="H1090" s="9">
        <v>4.3760000000000003</v>
      </c>
      <c r="I1090" s="9">
        <v>3</v>
      </c>
      <c r="J1090" s="9">
        <v>0.8</v>
      </c>
      <c r="K1090" s="62" t="s">
        <v>44</v>
      </c>
      <c r="L1090" s="63" t="str">
        <f t="shared" ref="L1090:L1153" si="34">TEXT(DATE(A1090,B1090,1),"mmm-yyyy")</f>
        <v>Jun-2018</v>
      </c>
      <c r="M1090" s="29">
        <f t="shared" ref="M1090:M1153" si="35">DATE(A1090,B1090,1)</f>
        <v>43252</v>
      </c>
    </row>
    <row r="1091" spans="1:13" ht="21" x14ac:dyDescent="0.35">
      <c r="A1091" s="8">
        <v>2018</v>
      </c>
      <c r="B1091" s="9">
        <v>6</v>
      </c>
      <c r="C1091" s="17" t="s">
        <v>118</v>
      </c>
      <c r="D1091" s="64" t="s">
        <v>53</v>
      </c>
      <c r="E1091" s="9">
        <v>45407.489950000003</v>
      </c>
      <c r="F1091" s="9">
        <v>272</v>
      </c>
      <c r="G1091" s="9">
        <v>166.94</v>
      </c>
      <c r="H1091" s="9">
        <v>4.1402210000000004</v>
      </c>
      <c r="I1091" s="9">
        <v>0</v>
      </c>
      <c r="J1091" s="9">
        <v>0</v>
      </c>
      <c r="K1091" s="62" t="s">
        <v>44</v>
      </c>
      <c r="L1091" s="63" t="str">
        <f t="shared" si="34"/>
        <v>Jun-2018</v>
      </c>
      <c r="M1091" s="29">
        <f t="shared" si="35"/>
        <v>43252</v>
      </c>
    </row>
    <row r="1092" spans="1:13" ht="21" x14ac:dyDescent="0.35">
      <c r="A1092" s="8">
        <v>2018</v>
      </c>
      <c r="B1092" s="9">
        <v>6</v>
      </c>
      <c r="C1092" s="17" t="s">
        <v>120</v>
      </c>
      <c r="D1092" s="64" t="s">
        <v>56</v>
      </c>
      <c r="E1092" s="9">
        <v>42326.44973</v>
      </c>
      <c r="F1092" s="9">
        <v>358</v>
      </c>
      <c r="G1092" s="9">
        <v>118.23</v>
      </c>
      <c r="H1092" s="9">
        <v>4.22905</v>
      </c>
      <c r="I1092" s="9">
        <v>3</v>
      </c>
      <c r="J1092" s="9">
        <v>0.84</v>
      </c>
      <c r="K1092" s="62" t="s">
        <v>44</v>
      </c>
      <c r="L1092" s="63" t="str">
        <f t="shared" si="34"/>
        <v>Jun-2018</v>
      </c>
      <c r="M1092" s="29">
        <f t="shared" si="35"/>
        <v>43252</v>
      </c>
    </row>
    <row r="1093" spans="1:13" ht="21" x14ac:dyDescent="0.35">
      <c r="A1093" s="8">
        <v>2018</v>
      </c>
      <c r="B1093" s="9">
        <v>6</v>
      </c>
      <c r="C1093" s="17" t="s">
        <v>124</v>
      </c>
      <c r="D1093" s="64" t="s">
        <v>45</v>
      </c>
      <c r="E1093" s="9">
        <v>42190.219929999999</v>
      </c>
      <c r="F1093" s="9">
        <v>318</v>
      </c>
      <c r="G1093" s="9">
        <v>132.66999999999999</v>
      </c>
      <c r="H1093" s="9">
        <v>4.126182</v>
      </c>
      <c r="I1093" s="9">
        <v>0</v>
      </c>
      <c r="J1093" s="9">
        <v>0</v>
      </c>
      <c r="K1093" s="62" t="s">
        <v>44</v>
      </c>
      <c r="L1093" s="63" t="str">
        <f t="shared" si="34"/>
        <v>Jun-2018</v>
      </c>
      <c r="M1093" s="29">
        <f t="shared" si="35"/>
        <v>43252</v>
      </c>
    </row>
    <row r="1094" spans="1:13" ht="21" x14ac:dyDescent="0.35">
      <c r="A1094" s="8">
        <v>2018</v>
      </c>
      <c r="B1094" s="9">
        <v>6</v>
      </c>
      <c r="C1094" s="17" t="s">
        <v>42</v>
      </c>
      <c r="D1094" s="64" t="s">
        <v>55</v>
      </c>
      <c r="E1094" s="9">
        <v>30755.119790000001</v>
      </c>
      <c r="F1094" s="9">
        <v>207</v>
      </c>
      <c r="G1094" s="9">
        <v>148.58000000000001</v>
      </c>
      <c r="H1094" s="9">
        <v>4.2439020000000003</v>
      </c>
      <c r="I1094" s="9">
        <v>0</v>
      </c>
      <c r="J1094" s="9">
        <v>0</v>
      </c>
      <c r="K1094" s="62" t="s">
        <v>44</v>
      </c>
      <c r="L1094" s="63" t="str">
        <f t="shared" si="34"/>
        <v>Jun-2018</v>
      </c>
      <c r="M1094" s="29">
        <f t="shared" si="35"/>
        <v>43252</v>
      </c>
    </row>
    <row r="1095" spans="1:13" ht="21" x14ac:dyDescent="0.35">
      <c r="A1095" s="8">
        <v>2018</v>
      </c>
      <c r="B1095" s="9">
        <v>6</v>
      </c>
      <c r="C1095" s="17" t="s">
        <v>47</v>
      </c>
      <c r="D1095" s="64" t="s">
        <v>48</v>
      </c>
      <c r="E1095" s="9">
        <v>27335.85989</v>
      </c>
      <c r="F1095" s="9">
        <v>169</v>
      </c>
      <c r="G1095" s="9">
        <v>161.75</v>
      </c>
      <c r="H1095" s="9">
        <v>4.3452380000000002</v>
      </c>
      <c r="I1095" s="9">
        <v>0</v>
      </c>
      <c r="J1095" s="9">
        <v>0</v>
      </c>
      <c r="K1095" s="62" t="s">
        <v>44</v>
      </c>
      <c r="L1095" s="63" t="str">
        <f t="shared" si="34"/>
        <v>Jun-2018</v>
      </c>
      <c r="M1095" s="29">
        <f t="shared" si="35"/>
        <v>43252</v>
      </c>
    </row>
    <row r="1096" spans="1:13" ht="21" x14ac:dyDescent="0.35">
      <c r="A1096" s="8">
        <v>2018</v>
      </c>
      <c r="B1096" s="9">
        <v>6</v>
      </c>
      <c r="C1096" s="17" t="s">
        <v>125</v>
      </c>
      <c r="D1096" s="64" t="s">
        <v>85</v>
      </c>
      <c r="E1096" s="9">
        <v>22947.719929999999</v>
      </c>
      <c r="F1096" s="9">
        <v>108</v>
      </c>
      <c r="G1096" s="9">
        <v>212.48</v>
      </c>
      <c r="H1096" s="9">
        <v>4.2222220000000004</v>
      </c>
      <c r="I1096" s="9">
        <v>0</v>
      </c>
      <c r="J1096" s="9">
        <v>0</v>
      </c>
      <c r="K1096" s="62" t="s">
        <v>44</v>
      </c>
      <c r="L1096" s="63" t="str">
        <f t="shared" si="34"/>
        <v>Jun-2018</v>
      </c>
      <c r="M1096" s="29">
        <f t="shared" si="35"/>
        <v>43252</v>
      </c>
    </row>
    <row r="1097" spans="1:13" ht="21" x14ac:dyDescent="0.35">
      <c r="A1097" s="8">
        <v>2018</v>
      </c>
      <c r="B1097" s="9">
        <v>6</v>
      </c>
      <c r="C1097" s="17" t="s">
        <v>76</v>
      </c>
      <c r="D1097" s="64" t="s">
        <v>46</v>
      </c>
      <c r="E1097" s="9">
        <v>22776.820019999999</v>
      </c>
      <c r="F1097" s="9">
        <v>205</v>
      </c>
      <c r="G1097" s="9">
        <v>111.11</v>
      </c>
      <c r="H1097" s="9">
        <v>4.2254899999999997</v>
      </c>
      <c r="I1097" s="9">
        <v>1</v>
      </c>
      <c r="J1097" s="9">
        <v>0.49</v>
      </c>
      <c r="K1097" s="62" t="s">
        <v>44</v>
      </c>
      <c r="L1097" s="63" t="str">
        <f t="shared" si="34"/>
        <v>Jun-2018</v>
      </c>
      <c r="M1097" s="29">
        <f t="shared" si="35"/>
        <v>43252</v>
      </c>
    </row>
    <row r="1098" spans="1:13" ht="21" x14ac:dyDescent="0.35">
      <c r="A1098" s="8">
        <v>2018</v>
      </c>
      <c r="B1098" s="9">
        <v>6</v>
      </c>
      <c r="C1098" s="17" t="s">
        <v>77</v>
      </c>
      <c r="D1098" s="64" t="s">
        <v>49</v>
      </c>
      <c r="E1098" s="9">
        <v>21221.45003</v>
      </c>
      <c r="F1098" s="9">
        <v>177</v>
      </c>
      <c r="G1098" s="9">
        <v>119.9</v>
      </c>
      <c r="H1098" s="9">
        <v>4.4659089999999999</v>
      </c>
      <c r="I1098" s="9">
        <v>0</v>
      </c>
      <c r="J1098" s="9">
        <v>0</v>
      </c>
      <c r="K1098" s="62" t="s">
        <v>44</v>
      </c>
      <c r="L1098" s="63" t="str">
        <f t="shared" si="34"/>
        <v>Jun-2018</v>
      </c>
      <c r="M1098" s="29">
        <f t="shared" si="35"/>
        <v>43252</v>
      </c>
    </row>
    <row r="1099" spans="1:13" ht="21" x14ac:dyDescent="0.35">
      <c r="A1099" s="8">
        <v>2018</v>
      </c>
      <c r="B1099" s="9">
        <v>6</v>
      </c>
      <c r="C1099" s="17" t="s">
        <v>94</v>
      </c>
      <c r="D1099" s="64" t="s">
        <v>64</v>
      </c>
      <c r="E1099" s="9">
        <v>19491.780050000001</v>
      </c>
      <c r="F1099" s="9">
        <v>151</v>
      </c>
      <c r="G1099" s="9">
        <v>129.08000000000001</v>
      </c>
      <c r="H1099" s="9">
        <v>4.443708</v>
      </c>
      <c r="I1099" s="9">
        <v>0</v>
      </c>
      <c r="J1099" s="9">
        <v>0</v>
      </c>
      <c r="K1099" s="62" t="s">
        <v>44</v>
      </c>
      <c r="L1099" s="63" t="str">
        <f t="shared" si="34"/>
        <v>Jun-2018</v>
      </c>
      <c r="M1099" s="29">
        <f t="shared" si="35"/>
        <v>43252</v>
      </c>
    </row>
    <row r="1100" spans="1:13" ht="21" x14ac:dyDescent="0.35">
      <c r="A1100" s="8">
        <v>2018</v>
      </c>
      <c r="B1100" s="9">
        <v>6</v>
      </c>
      <c r="C1100" s="17" t="s">
        <v>103</v>
      </c>
      <c r="D1100" s="64" t="s">
        <v>62</v>
      </c>
      <c r="E1100" s="9">
        <v>19316.37</v>
      </c>
      <c r="F1100" s="9">
        <v>100</v>
      </c>
      <c r="G1100" s="9">
        <v>193.16</v>
      </c>
      <c r="H1100" s="9">
        <v>4.3099999999999996</v>
      </c>
      <c r="I1100" s="9">
        <v>0</v>
      </c>
      <c r="J1100" s="9">
        <v>0</v>
      </c>
      <c r="K1100" s="62" t="s">
        <v>44</v>
      </c>
      <c r="L1100" s="63" t="str">
        <f t="shared" si="34"/>
        <v>Jun-2018</v>
      </c>
      <c r="M1100" s="29">
        <f t="shared" si="35"/>
        <v>43252</v>
      </c>
    </row>
    <row r="1101" spans="1:13" ht="21" x14ac:dyDescent="0.35">
      <c r="A1101" s="8">
        <v>2018</v>
      </c>
      <c r="B1101" s="9">
        <v>6</v>
      </c>
      <c r="C1101" s="17" t="s">
        <v>109</v>
      </c>
      <c r="D1101" s="64" t="s">
        <v>57</v>
      </c>
      <c r="E1101" s="9">
        <v>18018.710029999998</v>
      </c>
      <c r="F1101" s="9">
        <v>149</v>
      </c>
      <c r="G1101" s="9">
        <v>120.93</v>
      </c>
      <c r="H1101" s="9">
        <v>4.3221470000000002</v>
      </c>
      <c r="I1101" s="9">
        <v>0</v>
      </c>
      <c r="J1101" s="9">
        <v>0</v>
      </c>
      <c r="K1101" s="62" t="s">
        <v>44</v>
      </c>
      <c r="L1101" s="63" t="str">
        <f t="shared" si="34"/>
        <v>Jun-2018</v>
      </c>
      <c r="M1101" s="29">
        <f t="shared" si="35"/>
        <v>43252</v>
      </c>
    </row>
    <row r="1102" spans="1:13" ht="21" x14ac:dyDescent="0.35">
      <c r="A1102" s="8">
        <v>2018</v>
      </c>
      <c r="B1102" s="9">
        <v>6</v>
      </c>
      <c r="C1102" s="17" t="s">
        <v>115</v>
      </c>
      <c r="D1102" s="64" t="s">
        <v>84</v>
      </c>
      <c r="E1102" s="9">
        <v>16177.920050000001</v>
      </c>
      <c r="F1102" s="9">
        <v>46</v>
      </c>
      <c r="G1102" s="9">
        <v>351.69</v>
      </c>
      <c r="H1102" s="9">
        <v>4.4444439999999998</v>
      </c>
      <c r="I1102" s="9">
        <v>0</v>
      </c>
      <c r="J1102" s="9">
        <v>0</v>
      </c>
      <c r="K1102" s="62" t="s">
        <v>44</v>
      </c>
      <c r="L1102" s="63" t="str">
        <f t="shared" si="34"/>
        <v>Jun-2018</v>
      </c>
      <c r="M1102" s="29">
        <f t="shared" si="35"/>
        <v>43252</v>
      </c>
    </row>
    <row r="1103" spans="1:13" ht="21" x14ac:dyDescent="0.35">
      <c r="A1103" s="8">
        <v>2018</v>
      </c>
      <c r="B1103" s="9">
        <v>6</v>
      </c>
      <c r="C1103" s="17" t="s">
        <v>118</v>
      </c>
      <c r="D1103" s="64" t="s">
        <v>80</v>
      </c>
      <c r="E1103" s="9">
        <v>16022.7</v>
      </c>
      <c r="F1103" s="9">
        <v>44</v>
      </c>
      <c r="G1103" s="9">
        <v>364.15</v>
      </c>
      <c r="H1103" s="9">
        <v>4.0697669999999997</v>
      </c>
      <c r="I1103" s="9">
        <v>0</v>
      </c>
      <c r="J1103" s="9">
        <v>0</v>
      </c>
      <c r="K1103" s="62" t="s">
        <v>44</v>
      </c>
      <c r="L1103" s="63" t="str">
        <f t="shared" si="34"/>
        <v>Jun-2018</v>
      </c>
      <c r="M1103" s="29">
        <f t="shared" si="35"/>
        <v>43252</v>
      </c>
    </row>
    <row r="1104" spans="1:13" ht="21" x14ac:dyDescent="0.35">
      <c r="A1104" s="8">
        <v>2018</v>
      </c>
      <c r="B1104" s="9">
        <v>6</v>
      </c>
      <c r="C1104" s="17" t="s">
        <v>120</v>
      </c>
      <c r="D1104" s="64" t="s">
        <v>78</v>
      </c>
      <c r="E1104" s="9">
        <v>13127</v>
      </c>
      <c r="F1104" s="9">
        <v>8</v>
      </c>
      <c r="G1104" s="9">
        <v>1640.88</v>
      </c>
      <c r="H1104" s="9">
        <v>4.5</v>
      </c>
      <c r="I1104" s="9">
        <v>0</v>
      </c>
      <c r="J1104" s="9">
        <v>0</v>
      </c>
      <c r="K1104" s="62" t="s">
        <v>44</v>
      </c>
      <c r="L1104" s="63" t="str">
        <f t="shared" si="34"/>
        <v>Jun-2018</v>
      </c>
      <c r="M1104" s="29">
        <f t="shared" si="35"/>
        <v>43252</v>
      </c>
    </row>
    <row r="1105" spans="1:13" ht="21" x14ac:dyDescent="0.35">
      <c r="A1105" s="8">
        <v>2018</v>
      </c>
      <c r="B1105" s="9">
        <v>6</v>
      </c>
      <c r="C1105" s="17" t="s">
        <v>124</v>
      </c>
      <c r="D1105" s="64" t="s">
        <v>81</v>
      </c>
      <c r="E1105" s="9">
        <v>12859.08006</v>
      </c>
      <c r="F1105" s="9">
        <v>145</v>
      </c>
      <c r="G1105" s="9">
        <v>88.68</v>
      </c>
      <c r="H1105" s="9">
        <v>4.489655</v>
      </c>
      <c r="I1105" s="9">
        <v>0</v>
      </c>
      <c r="J1105" s="9">
        <v>0</v>
      </c>
      <c r="K1105" s="62" t="s">
        <v>44</v>
      </c>
      <c r="L1105" s="63" t="str">
        <f t="shared" si="34"/>
        <v>Jun-2018</v>
      </c>
      <c r="M1105" s="29">
        <f t="shared" si="35"/>
        <v>43252</v>
      </c>
    </row>
    <row r="1106" spans="1:13" ht="21" x14ac:dyDescent="0.35">
      <c r="A1106" s="8">
        <v>2018</v>
      </c>
      <c r="B1106" s="9">
        <v>6</v>
      </c>
      <c r="C1106" s="17" t="s">
        <v>42</v>
      </c>
      <c r="D1106" s="64" t="s">
        <v>60</v>
      </c>
      <c r="E1106" s="9">
        <v>12725.579970000001</v>
      </c>
      <c r="F1106" s="9">
        <v>60</v>
      </c>
      <c r="G1106" s="9">
        <v>212.09</v>
      </c>
      <c r="H1106" s="9">
        <v>3.8666659999999999</v>
      </c>
      <c r="I1106" s="9">
        <v>0</v>
      </c>
      <c r="J1106" s="9">
        <v>0</v>
      </c>
      <c r="K1106" s="62" t="s">
        <v>44</v>
      </c>
      <c r="L1106" s="63" t="str">
        <f t="shared" si="34"/>
        <v>Jun-2018</v>
      </c>
      <c r="M1106" s="29">
        <f t="shared" si="35"/>
        <v>43252</v>
      </c>
    </row>
    <row r="1107" spans="1:13" ht="21" x14ac:dyDescent="0.35">
      <c r="A1107" s="8">
        <v>2018</v>
      </c>
      <c r="B1107" s="9">
        <v>6</v>
      </c>
      <c r="C1107" s="17" t="s">
        <v>47</v>
      </c>
      <c r="D1107" s="64" t="s">
        <v>58</v>
      </c>
      <c r="E1107" s="9">
        <v>9664.5699449999993</v>
      </c>
      <c r="F1107" s="9">
        <v>174</v>
      </c>
      <c r="G1107" s="9">
        <v>55.54</v>
      </c>
      <c r="H1107" s="9">
        <v>4.4827579999999996</v>
      </c>
      <c r="I1107" s="9">
        <v>0</v>
      </c>
      <c r="J1107" s="9">
        <v>0</v>
      </c>
      <c r="K1107" s="62" t="s">
        <v>44</v>
      </c>
      <c r="L1107" s="63" t="str">
        <f t="shared" si="34"/>
        <v>Jun-2018</v>
      </c>
      <c r="M1107" s="29">
        <f t="shared" si="35"/>
        <v>43252</v>
      </c>
    </row>
    <row r="1108" spans="1:13" ht="21" x14ac:dyDescent="0.35">
      <c r="A1108" s="8">
        <v>2018</v>
      </c>
      <c r="B1108" s="9">
        <v>6</v>
      </c>
      <c r="C1108" s="17" t="s">
        <v>125</v>
      </c>
      <c r="D1108" s="64" t="s">
        <v>97</v>
      </c>
      <c r="E1108" s="9">
        <v>9094.5899850000005</v>
      </c>
      <c r="F1108" s="9">
        <v>60</v>
      </c>
      <c r="G1108" s="9">
        <v>151.58000000000001</v>
      </c>
      <c r="H1108" s="9">
        <v>4.3499999999999996</v>
      </c>
      <c r="I1108" s="9">
        <v>0</v>
      </c>
      <c r="J1108" s="9">
        <v>0</v>
      </c>
      <c r="K1108" s="62" t="s">
        <v>44</v>
      </c>
      <c r="L1108" s="63" t="str">
        <f t="shared" si="34"/>
        <v>Jun-2018</v>
      </c>
      <c r="M1108" s="29">
        <f t="shared" si="35"/>
        <v>43252</v>
      </c>
    </row>
    <row r="1109" spans="1:13" ht="21" x14ac:dyDescent="0.35">
      <c r="A1109" s="8">
        <v>2018</v>
      </c>
      <c r="B1109" s="9">
        <v>6</v>
      </c>
      <c r="C1109" s="17" t="s">
        <v>76</v>
      </c>
      <c r="D1109" s="64" t="s">
        <v>79</v>
      </c>
      <c r="E1109" s="9">
        <v>8312.7199949999995</v>
      </c>
      <c r="F1109" s="9">
        <v>18</v>
      </c>
      <c r="G1109" s="9">
        <v>461.82</v>
      </c>
      <c r="H1109" s="9">
        <v>4.7222220000000004</v>
      </c>
      <c r="I1109" s="9">
        <v>0</v>
      </c>
      <c r="J1109" s="9">
        <v>0</v>
      </c>
      <c r="K1109" s="62" t="s">
        <v>44</v>
      </c>
      <c r="L1109" s="63" t="str">
        <f t="shared" si="34"/>
        <v>Jun-2018</v>
      </c>
      <c r="M1109" s="29">
        <f t="shared" si="35"/>
        <v>43252</v>
      </c>
    </row>
    <row r="1110" spans="1:13" ht="21" x14ac:dyDescent="0.35">
      <c r="A1110" s="8">
        <v>2018</v>
      </c>
      <c r="B1110" s="9">
        <v>6</v>
      </c>
      <c r="C1110" s="17" t="s">
        <v>77</v>
      </c>
      <c r="D1110" s="64" t="s">
        <v>65</v>
      </c>
      <c r="E1110" s="9">
        <v>7869.9500479999997</v>
      </c>
      <c r="F1110" s="9">
        <v>82</v>
      </c>
      <c r="G1110" s="9">
        <v>95.98</v>
      </c>
      <c r="H1110" s="9">
        <v>4.5121950000000002</v>
      </c>
      <c r="I1110" s="9">
        <v>0</v>
      </c>
      <c r="J1110" s="9">
        <v>0</v>
      </c>
      <c r="K1110" s="62" t="s">
        <v>44</v>
      </c>
      <c r="L1110" s="63" t="str">
        <f t="shared" si="34"/>
        <v>Jun-2018</v>
      </c>
      <c r="M1110" s="29">
        <f t="shared" si="35"/>
        <v>43252</v>
      </c>
    </row>
    <row r="1111" spans="1:13" ht="21" x14ac:dyDescent="0.35">
      <c r="A1111" s="8">
        <v>2018</v>
      </c>
      <c r="B1111" s="9">
        <v>6</v>
      </c>
      <c r="C1111" s="17" t="s">
        <v>94</v>
      </c>
      <c r="D1111" s="64" t="s">
        <v>50</v>
      </c>
      <c r="E1111" s="9">
        <v>6903.01</v>
      </c>
      <c r="F1111" s="9">
        <v>41</v>
      </c>
      <c r="G1111" s="9">
        <v>168.37</v>
      </c>
      <c r="H1111" s="9">
        <v>4.5121950000000002</v>
      </c>
      <c r="I1111" s="9">
        <v>0</v>
      </c>
      <c r="J1111" s="9">
        <v>0</v>
      </c>
      <c r="K1111" s="62" t="s">
        <v>44</v>
      </c>
      <c r="L1111" s="63" t="str">
        <f t="shared" si="34"/>
        <v>Jun-2018</v>
      </c>
      <c r="M1111" s="29">
        <f t="shared" si="35"/>
        <v>43252</v>
      </c>
    </row>
    <row r="1112" spans="1:13" ht="21" x14ac:dyDescent="0.35">
      <c r="A1112" s="8">
        <v>2018</v>
      </c>
      <c r="B1112" s="9">
        <v>6</v>
      </c>
      <c r="C1112" s="17" t="s">
        <v>103</v>
      </c>
      <c r="D1112" s="64" t="s">
        <v>96</v>
      </c>
      <c r="E1112" s="9">
        <v>5916.3699669999996</v>
      </c>
      <c r="F1112" s="9">
        <v>67</v>
      </c>
      <c r="G1112" s="9">
        <v>88.3</v>
      </c>
      <c r="H1112" s="9">
        <v>4.3134319999999997</v>
      </c>
      <c r="I1112" s="9">
        <v>0</v>
      </c>
      <c r="J1112" s="9">
        <v>0</v>
      </c>
      <c r="K1112" s="62" t="s">
        <v>44</v>
      </c>
      <c r="L1112" s="63" t="str">
        <f t="shared" si="34"/>
        <v>Jun-2018</v>
      </c>
      <c r="M1112" s="29">
        <f t="shared" si="35"/>
        <v>43252</v>
      </c>
    </row>
    <row r="1113" spans="1:13" ht="21" x14ac:dyDescent="0.35">
      <c r="A1113" s="8">
        <v>2018</v>
      </c>
      <c r="B1113" s="9">
        <v>6</v>
      </c>
      <c r="C1113" s="17" t="s">
        <v>109</v>
      </c>
      <c r="D1113" s="64" t="s">
        <v>107</v>
      </c>
      <c r="E1113" s="9">
        <v>5863.1800819999999</v>
      </c>
      <c r="F1113" s="9">
        <v>18</v>
      </c>
      <c r="G1113" s="9">
        <v>325.73</v>
      </c>
      <c r="H1113" s="9">
        <v>4.1111110000000002</v>
      </c>
      <c r="I1113" s="9">
        <v>0</v>
      </c>
      <c r="J1113" s="9">
        <v>0</v>
      </c>
      <c r="K1113" s="62" t="s">
        <v>44</v>
      </c>
      <c r="L1113" s="63" t="str">
        <f t="shared" si="34"/>
        <v>Jun-2018</v>
      </c>
      <c r="M1113" s="29">
        <f t="shared" si="35"/>
        <v>43252</v>
      </c>
    </row>
    <row r="1114" spans="1:13" ht="21" x14ac:dyDescent="0.35">
      <c r="A1114" s="8">
        <v>2018</v>
      </c>
      <c r="B1114" s="9">
        <v>6</v>
      </c>
      <c r="C1114" s="17" t="s">
        <v>115</v>
      </c>
      <c r="D1114" s="64" t="s">
        <v>83</v>
      </c>
      <c r="E1114" s="9">
        <v>5070.8799319999998</v>
      </c>
      <c r="F1114" s="9">
        <v>36</v>
      </c>
      <c r="G1114" s="9">
        <v>140.86000000000001</v>
      </c>
      <c r="H1114" s="9">
        <v>4.4722220000000004</v>
      </c>
      <c r="I1114" s="9">
        <v>0</v>
      </c>
      <c r="J1114" s="9">
        <v>0</v>
      </c>
      <c r="K1114" s="62" t="s">
        <v>44</v>
      </c>
      <c r="L1114" s="63" t="str">
        <f t="shared" si="34"/>
        <v>Jun-2018</v>
      </c>
      <c r="M1114" s="29">
        <f t="shared" si="35"/>
        <v>43252</v>
      </c>
    </row>
    <row r="1115" spans="1:13" ht="21" x14ac:dyDescent="0.35">
      <c r="A1115" s="8">
        <v>2018</v>
      </c>
      <c r="B1115" s="9">
        <v>6</v>
      </c>
      <c r="C1115" s="17" t="s">
        <v>118</v>
      </c>
      <c r="D1115" s="64" t="s">
        <v>121</v>
      </c>
      <c r="E1115" s="9">
        <v>4583.4100420000004</v>
      </c>
      <c r="F1115" s="9">
        <v>35</v>
      </c>
      <c r="G1115" s="9">
        <v>130.94999999999999</v>
      </c>
      <c r="H1115" s="9">
        <v>4.4000000000000004</v>
      </c>
      <c r="I1115" s="9">
        <v>0</v>
      </c>
      <c r="J1115" s="9">
        <v>0</v>
      </c>
      <c r="K1115" s="62" t="s">
        <v>44</v>
      </c>
      <c r="L1115" s="63" t="str">
        <f t="shared" si="34"/>
        <v>Jun-2018</v>
      </c>
      <c r="M1115" s="29">
        <f t="shared" si="35"/>
        <v>43252</v>
      </c>
    </row>
    <row r="1116" spans="1:13" ht="21" x14ac:dyDescent="0.35">
      <c r="A1116" s="8">
        <v>2018</v>
      </c>
      <c r="B1116" s="9">
        <v>6</v>
      </c>
      <c r="C1116" s="17" t="s">
        <v>120</v>
      </c>
      <c r="D1116" s="64" t="s">
        <v>88</v>
      </c>
      <c r="E1116" s="9">
        <v>3667.4299890000002</v>
      </c>
      <c r="F1116" s="9">
        <v>22</v>
      </c>
      <c r="G1116" s="9">
        <v>166.7</v>
      </c>
      <c r="H1116" s="9">
        <v>3.318181</v>
      </c>
      <c r="I1116" s="9">
        <v>1</v>
      </c>
      <c r="J1116" s="9">
        <v>4.55</v>
      </c>
      <c r="K1116" s="62" t="s">
        <v>44</v>
      </c>
      <c r="L1116" s="63" t="str">
        <f t="shared" si="34"/>
        <v>Jun-2018</v>
      </c>
      <c r="M1116" s="29">
        <f t="shared" si="35"/>
        <v>43252</v>
      </c>
    </row>
    <row r="1117" spans="1:13" ht="21" x14ac:dyDescent="0.35">
      <c r="A1117" s="8">
        <v>2018</v>
      </c>
      <c r="B1117" s="9">
        <v>6</v>
      </c>
      <c r="C1117" s="17" t="s">
        <v>124</v>
      </c>
      <c r="D1117" s="64" t="s">
        <v>54</v>
      </c>
      <c r="E1117" s="9">
        <v>3567.8999979999999</v>
      </c>
      <c r="F1117" s="9">
        <v>9</v>
      </c>
      <c r="G1117" s="9">
        <v>396.43</v>
      </c>
      <c r="H1117" s="9">
        <v>3.8888880000000001</v>
      </c>
      <c r="I1117" s="9">
        <v>0</v>
      </c>
      <c r="J1117" s="9">
        <v>0</v>
      </c>
      <c r="K1117" s="62" t="s">
        <v>44</v>
      </c>
      <c r="L1117" s="63" t="str">
        <f t="shared" si="34"/>
        <v>Jun-2018</v>
      </c>
      <c r="M1117" s="29">
        <f t="shared" si="35"/>
        <v>43252</v>
      </c>
    </row>
    <row r="1118" spans="1:13" ht="21" x14ac:dyDescent="0.35">
      <c r="A1118" s="8">
        <v>2018</v>
      </c>
      <c r="B1118" s="9">
        <v>6</v>
      </c>
      <c r="C1118" s="17" t="s">
        <v>42</v>
      </c>
      <c r="D1118" s="64" t="s">
        <v>82</v>
      </c>
      <c r="E1118" s="9">
        <v>3541.619968</v>
      </c>
      <c r="F1118" s="9">
        <v>27</v>
      </c>
      <c r="G1118" s="9">
        <v>131.16999999999999</v>
      </c>
      <c r="H1118" s="9">
        <v>4.4074070000000001</v>
      </c>
      <c r="I1118" s="9">
        <v>0</v>
      </c>
      <c r="J1118" s="9">
        <v>0</v>
      </c>
      <c r="K1118" s="62" t="s">
        <v>44</v>
      </c>
      <c r="L1118" s="63" t="str">
        <f t="shared" si="34"/>
        <v>Jun-2018</v>
      </c>
      <c r="M1118" s="29">
        <f t="shared" si="35"/>
        <v>43252</v>
      </c>
    </row>
    <row r="1119" spans="1:13" ht="21" x14ac:dyDescent="0.35">
      <c r="A1119" s="8">
        <v>2018</v>
      </c>
      <c r="B1119" s="9">
        <v>6</v>
      </c>
      <c r="C1119" s="17" t="s">
        <v>47</v>
      </c>
      <c r="D1119" s="64" t="s">
        <v>91</v>
      </c>
      <c r="E1119" s="9">
        <v>3515.7999949999999</v>
      </c>
      <c r="F1119" s="9">
        <v>10</v>
      </c>
      <c r="G1119" s="9">
        <v>351.58</v>
      </c>
      <c r="H1119" s="9">
        <v>4.2</v>
      </c>
      <c r="I1119" s="9">
        <v>0</v>
      </c>
      <c r="J1119" s="9">
        <v>0</v>
      </c>
      <c r="K1119" s="62" t="s">
        <v>44</v>
      </c>
      <c r="L1119" s="63" t="str">
        <f t="shared" si="34"/>
        <v>Jun-2018</v>
      </c>
      <c r="M1119" s="29">
        <f t="shared" si="35"/>
        <v>43252</v>
      </c>
    </row>
    <row r="1120" spans="1:13" ht="21" x14ac:dyDescent="0.35">
      <c r="A1120" s="8">
        <v>2018</v>
      </c>
      <c r="B1120" s="9">
        <v>6</v>
      </c>
      <c r="C1120" s="17" t="s">
        <v>125</v>
      </c>
      <c r="D1120" s="64" t="s">
        <v>119</v>
      </c>
      <c r="E1120" s="9">
        <v>3499</v>
      </c>
      <c r="F1120" s="9">
        <v>3</v>
      </c>
      <c r="G1120" s="9">
        <v>1166.33</v>
      </c>
      <c r="H1120" s="9">
        <v>5</v>
      </c>
      <c r="I1120" s="9">
        <v>0</v>
      </c>
      <c r="J1120" s="9">
        <v>0</v>
      </c>
      <c r="K1120" s="62" t="s">
        <v>44</v>
      </c>
      <c r="L1120" s="63" t="str">
        <f t="shared" si="34"/>
        <v>Jun-2018</v>
      </c>
      <c r="M1120" s="29">
        <f t="shared" si="35"/>
        <v>43252</v>
      </c>
    </row>
    <row r="1121" spans="1:13" ht="21" x14ac:dyDescent="0.35">
      <c r="A1121" s="8">
        <v>2018</v>
      </c>
      <c r="B1121" s="9">
        <v>6</v>
      </c>
      <c r="C1121" s="17" t="s">
        <v>76</v>
      </c>
      <c r="D1121" s="64" t="s">
        <v>71</v>
      </c>
      <c r="E1121" s="9">
        <v>3345.3900549999998</v>
      </c>
      <c r="F1121" s="9">
        <v>33</v>
      </c>
      <c r="G1121" s="9">
        <v>101.38</v>
      </c>
      <c r="H1121" s="9">
        <v>4.65625</v>
      </c>
      <c r="I1121" s="9">
        <v>1</v>
      </c>
      <c r="J1121" s="9">
        <v>3.03</v>
      </c>
      <c r="K1121" s="62" t="s">
        <v>44</v>
      </c>
      <c r="L1121" s="63" t="str">
        <f t="shared" si="34"/>
        <v>Jun-2018</v>
      </c>
      <c r="M1121" s="29">
        <f t="shared" si="35"/>
        <v>43252</v>
      </c>
    </row>
    <row r="1122" spans="1:13" ht="21" x14ac:dyDescent="0.35">
      <c r="A1122" s="8">
        <v>2018</v>
      </c>
      <c r="B1122" s="9">
        <v>6</v>
      </c>
      <c r="C1122" s="17" t="s">
        <v>77</v>
      </c>
      <c r="D1122" s="64" t="s">
        <v>67</v>
      </c>
      <c r="E1122" s="9">
        <v>2609.8999939999999</v>
      </c>
      <c r="F1122" s="9">
        <v>21</v>
      </c>
      <c r="G1122" s="9">
        <v>124.28</v>
      </c>
      <c r="H1122" s="9">
        <v>4.4761899999999999</v>
      </c>
      <c r="I1122" s="9">
        <v>0</v>
      </c>
      <c r="J1122" s="9">
        <v>0</v>
      </c>
      <c r="K1122" s="62" t="s">
        <v>44</v>
      </c>
      <c r="L1122" s="63" t="str">
        <f t="shared" si="34"/>
        <v>Jun-2018</v>
      </c>
      <c r="M1122" s="29">
        <f t="shared" si="35"/>
        <v>43252</v>
      </c>
    </row>
    <row r="1123" spans="1:13" ht="21" x14ac:dyDescent="0.35">
      <c r="A1123" s="8">
        <v>2018</v>
      </c>
      <c r="B1123" s="9">
        <v>6</v>
      </c>
      <c r="C1123" s="17" t="s">
        <v>94</v>
      </c>
      <c r="D1123" s="64" t="s">
        <v>100</v>
      </c>
      <c r="E1123" s="9">
        <v>2565.3700009999998</v>
      </c>
      <c r="F1123" s="9">
        <v>16</v>
      </c>
      <c r="G1123" s="9">
        <v>160.34</v>
      </c>
      <c r="H1123" s="9">
        <v>4.125</v>
      </c>
      <c r="I1123" s="9">
        <v>0</v>
      </c>
      <c r="J1123" s="9">
        <v>0</v>
      </c>
      <c r="K1123" s="62" t="s">
        <v>44</v>
      </c>
      <c r="L1123" s="63" t="str">
        <f t="shared" si="34"/>
        <v>Jun-2018</v>
      </c>
      <c r="M1123" s="29">
        <f t="shared" si="35"/>
        <v>43252</v>
      </c>
    </row>
    <row r="1124" spans="1:13" ht="21" x14ac:dyDescent="0.35">
      <c r="A1124" s="8">
        <v>2018</v>
      </c>
      <c r="B1124" s="9">
        <v>6</v>
      </c>
      <c r="C1124" s="17" t="s">
        <v>103</v>
      </c>
      <c r="D1124" s="64" t="s">
        <v>105</v>
      </c>
      <c r="E1124" s="9">
        <v>2500.1399940000001</v>
      </c>
      <c r="F1124" s="9">
        <v>28</v>
      </c>
      <c r="G1124" s="9">
        <v>89.29</v>
      </c>
      <c r="H1124" s="9">
        <v>4.2857139999999996</v>
      </c>
      <c r="I1124" s="9">
        <v>0</v>
      </c>
      <c r="J1124" s="9">
        <v>0</v>
      </c>
      <c r="K1124" s="62" t="s">
        <v>44</v>
      </c>
      <c r="L1124" s="63" t="str">
        <f t="shared" si="34"/>
        <v>Jun-2018</v>
      </c>
      <c r="M1124" s="29">
        <f t="shared" si="35"/>
        <v>43252</v>
      </c>
    </row>
    <row r="1125" spans="1:13" ht="21" x14ac:dyDescent="0.35">
      <c r="A1125" s="8">
        <v>2018</v>
      </c>
      <c r="B1125" s="9">
        <v>6</v>
      </c>
      <c r="C1125" s="17" t="s">
        <v>109</v>
      </c>
      <c r="D1125" s="64" t="s">
        <v>0</v>
      </c>
      <c r="E1125" s="9">
        <v>2387.1300620000002</v>
      </c>
      <c r="F1125" s="9">
        <v>22</v>
      </c>
      <c r="G1125" s="9">
        <v>108.51</v>
      </c>
      <c r="H1125" s="9" t="s">
        <v>0</v>
      </c>
      <c r="I1125" s="9" t="s">
        <v>0</v>
      </c>
      <c r="J1125" s="9" t="s">
        <v>0</v>
      </c>
      <c r="K1125" s="62" t="s">
        <v>44</v>
      </c>
      <c r="L1125" s="63" t="str">
        <f t="shared" si="34"/>
        <v>Jun-2018</v>
      </c>
      <c r="M1125" s="29">
        <f t="shared" si="35"/>
        <v>43252</v>
      </c>
    </row>
    <row r="1126" spans="1:13" ht="21" x14ac:dyDescent="0.35">
      <c r="A1126" s="8">
        <v>2018</v>
      </c>
      <c r="B1126" s="9">
        <v>6</v>
      </c>
      <c r="C1126" s="17" t="s">
        <v>115</v>
      </c>
      <c r="D1126" s="64" t="s">
        <v>99</v>
      </c>
      <c r="E1126" s="9">
        <v>2386.4900130000001</v>
      </c>
      <c r="F1126" s="9">
        <v>16</v>
      </c>
      <c r="G1126" s="9">
        <v>149.16</v>
      </c>
      <c r="H1126" s="9">
        <v>4.3125</v>
      </c>
      <c r="I1126" s="9">
        <v>0</v>
      </c>
      <c r="J1126" s="9">
        <v>0</v>
      </c>
      <c r="K1126" s="62" t="s">
        <v>44</v>
      </c>
      <c r="L1126" s="63" t="str">
        <f t="shared" si="34"/>
        <v>Jun-2018</v>
      </c>
      <c r="M1126" s="29">
        <f t="shared" si="35"/>
        <v>43252</v>
      </c>
    </row>
    <row r="1127" spans="1:13" ht="21" x14ac:dyDescent="0.35">
      <c r="A1127" s="8">
        <v>2018</v>
      </c>
      <c r="B1127" s="9">
        <v>6</v>
      </c>
      <c r="C1127" s="17" t="s">
        <v>118</v>
      </c>
      <c r="D1127" s="64" t="s">
        <v>63</v>
      </c>
      <c r="E1127" s="9">
        <v>2080.3199979999999</v>
      </c>
      <c r="F1127" s="9">
        <v>15</v>
      </c>
      <c r="G1127" s="9">
        <v>138.69</v>
      </c>
      <c r="H1127" s="9">
        <v>4.4000000000000004</v>
      </c>
      <c r="I1127" s="9">
        <v>0</v>
      </c>
      <c r="J1127" s="9">
        <v>0</v>
      </c>
      <c r="K1127" s="62" t="s">
        <v>44</v>
      </c>
      <c r="L1127" s="63" t="str">
        <f t="shared" si="34"/>
        <v>Jun-2018</v>
      </c>
      <c r="M1127" s="29">
        <f t="shared" si="35"/>
        <v>43252</v>
      </c>
    </row>
    <row r="1128" spans="1:13" ht="21" x14ac:dyDescent="0.35">
      <c r="A1128" s="8">
        <v>2018</v>
      </c>
      <c r="B1128" s="9">
        <v>6</v>
      </c>
      <c r="C1128" s="17" t="s">
        <v>120</v>
      </c>
      <c r="D1128" s="64" t="s">
        <v>69</v>
      </c>
      <c r="E1128" s="9">
        <v>1830.6900009999999</v>
      </c>
      <c r="F1128" s="9">
        <v>19</v>
      </c>
      <c r="G1128" s="9">
        <v>96.35</v>
      </c>
      <c r="H1128" s="9">
        <v>4.2222220000000004</v>
      </c>
      <c r="I1128" s="9">
        <v>0</v>
      </c>
      <c r="J1128" s="9">
        <v>0</v>
      </c>
      <c r="K1128" s="62" t="s">
        <v>44</v>
      </c>
      <c r="L1128" s="63" t="str">
        <f t="shared" si="34"/>
        <v>Jun-2018</v>
      </c>
      <c r="M1128" s="29">
        <f t="shared" si="35"/>
        <v>43252</v>
      </c>
    </row>
    <row r="1129" spans="1:13" ht="21" x14ac:dyDescent="0.35">
      <c r="A1129" s="8">
        <v>2018</v>
      </c>
      <c r="B1129" s="9">
        <v>6</v>
      </c>
      <c r="C1129" s="17" t="s">
        <v>124</v>
      </c>
      <c r="D1129" s="64" t="s">
        <v>68</v>
      </c>
      <c r="E1129" s="9">
        <v>1747.43001</v>
      </c>
      <c r="F1129" s="9">
        <v>26</v>
      </c>
      <c r="G1129" s="9">
        <v>67.209999999999994</v>
      </c>
      <c r="H1129" s="9">
        <v>4.6153839999999997</v>
      </c>
      <c r="I1129" s="9">
        <v>0</v>
      </c>
      <c r="J1129" s="9">
        <v>0</v>
      </c>
      <c r="K1129" s="62" t="s">
        <v>44</v>
      </c>
      <c r="L1129" s="63" t="str">
        <f t="shared" si="34"/>
        <v>Jun-2018</v>
      </c>
      <c r="M1129" s="29">
        <f t="shared" si="35"/>
        <v>43252</v>
      </c>
    </row>
    <row r="1130" spans="1:13" ht="21" x14ac:dyDescent="0.35">
      <c r="A1130" s="8">
        <v>2018</v>
      </c>
      <c r="B1130" s="9">
        <v>6</v>
      </c>
      <c r="C1130" s="17" t="s">
        <v>42</v>
      </c>
      <c r="D1130" s="64" t="s">
        <v>104</v>
      </c>
      <c r="E1130" s="9">
        <v>1567.070007</v>
      </c>
      <c r="F1130" s="9">
        <v>30</v>
      </c>
      <c r="G1130" s="9">
        <v>52.24</v>
      </c>
      <c r="H1130" s="9">
        <v>4.0999999999999996</v>
      </c>
      <c r="I1130" s="9">
        <v>0</v>
      </c>
      <c r="J1130" s="9">
        <v>0</v>
      </c>
      <c r="K1130" s="62" t="s">
        <v>44</v>
      </c>
      <c r="L1130" s="63" t="str">
        <f t="shared" si="34"/>
        <v>Jun-2018</v>
      </c>
      <c r="M1130" s="29">
        <f t="shared" si="35"/>
        <v>43252</v>
      </c>
    </row>
    <row r="1131" spans="1:13" ht="21" x14ac:dyDescent="0.35">
      <c r="A1131" s="8">
        <v>2018</v>
      </c>
      <c r="B1131" s="9">
        <v>6</v>
      </c>
      <c r="C1131" s="17" t="s">
        <v>47</v>
      </c>
      <c r="D1131" s="64" t="s">
        <v>89</v>
      </c>
      <c r="E1131" s="9">
        <v>1559.989998</v>
      </c>
      <c r="F1131" s="9">
        <v>8</v>
      </c>
      <c r="G1131" s="9">
        <v>195</v>
      </c>
      <c r="H1131" s="9">
        <v>3.75</v>
      </c>
      <c r="I1131" s="9">
        <v>0</v>
      </c>
      <c r="J1131" s="9">
        <v>0</v>
      </c>
      <c r="K1131" s="62" t="s">
        <v>44</v>
      </c>
      <c r="L1131" s="63" t="str">
        <f t="shared" si="34"/>
        <v>Jun-2018</v>
      </c>
      <c r="M1131" s="29">
        <f t="shared" si="35"/>
        <v>43252</v>
      </c>
    </row>
    <row r="1132" spans="1:13" ht="21" x14ac:dyDescent="0.35">
      <c r="A1132" s="8">
        <v>2018</v>
      </c>
      <c r="B1132" s="9">
        <v>6</v>
      </c>
      <c r="C1132" s="17" t="s">
        <v>125</v>
      </c>
      <c r="D1132" s="64" t="s">
        <v>72</v>
      </c>
      <c r="E1132" s="9">
        <v>1371.1800040000001</v>
      </c>
      <c r="F1132" s="9">
        <v>24</v>
      </c>
      <c r="G1132" s="9">
        <v>57.13</v>
      </c>
      <c r="H1132" s="9">
        <v>4.0416660000000002</v>
      </c>
      <c r="I1132" s="9">
        <v>0</v>
      </c>
      <c r="J1132" s="9">
        <v>0</v>
      </c>
      <c r="K1132" s="62" t="s">
        <v>44</v>
      </c>
      <c r="L1132" s="63" t="str">
        <f t="shared" si="34"/>
        <v>Jun-2018</v>
      </c>
      <c r="M1132" s="29">
        <f t="shared" si="35"/>
        <v>43252</v>
      </c>
    </row>
    <row r="1133" spans="1:13" ht="21" x14ac:dyDescent="0.35">
      <c r="A1133" s="8">
        <v>2018</v>
      </c>
      <c r="B1133" s="9">
        <v>6</v>
      </c>
      <c r="C1133" s="17" t="s">
        <v>76</v>
      </c>
      <c r="D1133" s="64" t="s">
        <v>74</v>
      </c>
      <c r="E1133" s="9">
        <v>1230.5799979999999</v>
      </c>
      <c r="F1133" s="9">
        <v>10</v>
      </c>
      <c r="G1133" s="9">
        <v>123.06</v>
      </c>
      <c r="H1133" s="9">
        <v>4.5999999999999996</v>
      </c>
      <c r="I1133" s="9">
        <v>0</v>
      </c>
      <c r="J1133" s="9">
        <v>0</v>
      </c>
      <c r="K1133" s="62" t="s">
        <v>44</v>
      </c>
      <c r="L1133" s="63" t="str">
        <f t="shared" si="34"/>
        <v>Jun-2018</v>
      </c>
      <c r="M1133" s="29">
        <f t="shared" si="35"/>
        <v>43252</v>
      </c>
    </row>
    <row r="1134" spans="1:13" ht="21" x14ac:dyDescent="0.35">
      <c r="A1134" s="8">
        <v>2018</v>
      </c>
      <c r="B1134" s="9">
        <v>6</v>
      </c>
      <c r="C1134" s="17" t="s">
        <v>77</v>
      </c>
      <c r="D1134" s="64" t="s">
        <v>98</v>
      </c>
      <c r="E1134" s="9">
        <v>799.44000430000006</v>
      </c>
      <c r="F1134" s="9">
        <v>11</v>
      </c>
      <c r="G1134" s="9">
        <v>72.680000000000007</v>
      </c>
      <c r="H1134" s="9">
        <v>4.4545450000000004</v>
      </c>
      <c r="I1134" s="9">
        <v>0</v>
      </c>
      <c r="J1134" s="9">
        <v>0</v>
      </c>
      <c r="K1134" s="62" t="s">
        <v>44</v>
      </c>
      <c r="L1134" s="63" t="str">
        <f t="shared" si="34"/>
        <v>Jun-2018</v>
      </c>
      <c r="M1134" s="29">
        <f t="shared" si="35"/>
        <v>43252</v>
      </c>
    </row>
    <row r="1135" spans="1:13" ht="21" x14ac:dyDescent="0.35">
      <c r="A1135" s="8">
        <v>2018</v>
      </c>
      <c r="B1135" s="9">
        <v>6</v>
      </c>
      <c r="C1135" s="17" t="s">
        <v>94</v>
      </c>
      <c r="D1135" s="64" t="s">
        <v>59</v>
      </c>
      <c r="E1135" s="9">
        <v>556.4599991</v>
      </c>
      <c r="F1135" s="9">
        <v>7</v>
      </c>
      <c r="G1135" s="9">
        <v>79.489999999999995</v>
      </c>
      <c r="H1135" s="9">
        <v>3.8571420000000001</v>
      </c>
      <c r="I1135" s="9">
        <v>0</v>
      </c>
      <c r="J1135" s="9">
        <v>0</v>
      </c>
      <c r="K1135" s="62" t="s">
        <v>44</v>
      </c>
      <c r="L1135" s="63" t="str">
        <f t="shared" si="34"/>
        <v>Jun-2018</v>
      </c>
      <c r="M1135" s="29">
        <f t="shared" si="35"/>
        <v>43252</v>
      </c>
    </row>
    <row r="1136" spans="1:13" ht="21" x14ac:dyDescent="0.35">
      <c r="A1136" s="8">
        <v>2018</v>
      </c>
      <c r="B1136" s="9">
        <v>6</v>
      </c>
      <c r="C1136" s="17" t="s">
        <v>103</v>
      </c>
      <c r="D1136" s="64" t="s">
        <v>110</v>
      </c>
      <c r="E1136" s="9">
        <v>527</v>
      </c>
      <c r="F1136" s="9">
        <v>4</v>
      </c>
      <c r="G1136" s="9">
        <v>131.75</v>
      </c>
      <c r="H1136" s="9">
        <v>5</v>
      </c>
      <c r="I1136" s="9">
        <v>0</v>
      </c>
      <c r="J1136" s="9">
        <v>0</v>
      </c>
      <c r="K1136" s="62" t="s">
        <v>44</v>
      </c>
      <c r="L1136" s="63" t="str">
        <f t="shared" si="34"/>
        <v>Jun-2018</v>
      </c>
      <c r="M1136" s="29">
        <f t="shared" si="35"/>
        <v>43252</v>
      </c>
    </row>
    <row r="1137" spans="1:13" ht="21" x14ac:dyDescent="0.35">
      <c r="A1137" s="8">
        <v>2018</v>
      </c>
      <c r="B1137" s="9">
        <v>6</v>
      </c>
      <c r="C1137" s="17" t="s">
        <v>109</v>
      </c>
      <c r="D1137" s="64" t="s">
        <v>101</v>
      </c>
      <c r="E1137" s="9">
        <v>468.16999629999998</v>
      </c>
      <c r="F1137" s="9">
        <v>9</v>
      </c>
      <c r="G1137" s="9">
        <v>52.02</v>
      </c>
      <c r="H1137" s="9">
        <v>5</v>
      </c>
      <c r="I1137" s="9">
        <v>0</v>
      </c>
      <c r="J1137" s="9">
        <v>0</v>
      </c>
      <c r="K1137" s="62" t="s">
        <v>44</v>
      </c>
      <c r="L1137" s="63" t="str">
        <f t="shared" si="34"/>
        <v>Jun-2018</v>
      </c>
      <c r="M1137" s="29">
        <f t="shared" si="35"/>
        <v>43252</v>
      </c>
    </row>
    <row r="1138" spans="1:13" ht="21" x14ac:dyDescent="0.35">
      <c r="A1138" s="8">
        <v>2018</v>
      </c>
      <c r="B1138" s="9">
        <v>6</v>
      </c>
      <c r="C1138" s="17" t="s">
        <v>115</v>
      </c>
      <c r="D1138" s="64" t="s">
        <v>75</v>
      </c>
      <c r="E1138" s="9">
        <v>447.80000310000003</v>
      </c>
      <c r="F1138" s="9">
        <v>6</v>
      </c>
      <c r="G1138" s="9">
        <v>74.63</v>
      </c>
      <c r="H1138" s="9">
        <v>4.8333329999999997</v>
      </c>
      <c r="I1138" s="9">
        <v>0</v>
      </c>
      <c r="J1138" s="9">
        <v>0</v>
      </c>
      <c r="K1138" s="62" t="s">
        <v>44</v>
      </c>
      <c r="L1138" s="63" t="str">
        <f t="shared" si="34"/>
        <v>Jun-2018</v>
      </c>
      <c r="M1138" s="29">
        <f t="shared" si="35"/>
        <v>43252</v>
      </c>
    </row>
    <row r="1139" spans="1:13" ht="21" x14ac:dyDescent="0.35">
      <c r="A1139" s="8">
        <v>2018</v>
      </c>
      <c r="B1139" s="9">
        <v>6</v>
      </c>
      <c r="C1139" s="17" t="s">
        <v>118</v>
      </c>
      <c r="D1139" s="64" t="s">
        <v>102</v>
      </c>
      <c r="E1139" s="9">
        <v>435.8500032</v>
      </c>
      <c r="F1139" s="9">
        <v>9</v>
      </c>
      <c r="G1139" s="9">
        <v>48.43</v>
      </c>
      <c r="H1139" s="9">
        <v>4.4444439999999998</v>
      </c>
      <c r="I1139" s="9">
        <v>0</v>
      </c>
      <c r="J1139" s="9">
        <v>0</v>
      </c>
      <c r="K1139" s="62" t="s">
        <v>44</v>
      </c>
      <c r="L1139" s="63" t="str">
        <f t="shared" si="34"/>
        <v>Jun-2018</v>
      </c>
      <c r="M1139" s="29">
        <f t="shared" si="35"/>
        <v>43252</v>
      </c>
    </row>
    <row r="1140" spans="1:13" ht="21" x14ac:dyDescent="0.35">
      <c r="A1140" s="8">
        <v>2018</v>
      </c>
      <c r="B1140" s="9">
        <v>6</v>
      </c>
      <c r="C1140" s="17" t="s">
        <v>120</v>
      </c>
      <c r="D1140" s="64" t="s">
        <v>92</v>
      </c>
      <c r="E1140" s="9">
        <v>382.88000299999999</v>
      </c>
      <c r="F1140" s="9">
        <v>5</v>
      </c>
      <c r="G1140" s="9">
        <v>76.58</v>
      </c>
      <c r="H1140" s="9">
        <v>4.8</v>
      </c>
      <c r="I1140" s="9">
        <v>0</v>
      </c>
      <c r="J1140" s="9">
        <v>0</v>
      </c>
      <c r="K1140" s="62" t="s">
        <v>44</v>
      </c>
      <c r="L1140" s="63" t="str">
        <f t="shared" si="34"/>
        <v>Jun-2018</v>
      </c>
      <c r="M1140" s="29">
        <f t="shared" si="35"/>
        <v>43252</v>
      </c>
    </row>
    <row r="1141" spans="1:13" ht="21" x14ac:dyDescent="0.35">
      <c r="A1141" s="8">
        <v>2018</v>
      </c>
      <c r="B1141" s="9">
        <v>6</v>
      </c>
      <c r="C1141" s="17" t="s">
        <v>124</v>
      </c>
      <c r="D1141" s="64" t="s">
        <v>70</v>
      </c>
      <c r="E1141" s="9">
        <v>321</v>
      </c>
      <c r="F1141" s="9">
        <v>7</v>
      </c>
      <c r="G1141" s="9">
        <v>45.86</v>
      </c>
      <c r="H1141" s="9">
        <v>4.1428570000000002</v>
      </c>
      <c r="I1141" s="9">
        <v>0</v>
      </c>
      <c r="J1141" s="9">
        <v>0</v>
      </c>
      <c r="K1141" s="62" t="s">
        <v>44</v>
      </c>
      <c r="L1141" s="63" t="str">
        <f t="shared" si="34"/>
        <v>Jun-2018</v>
      </c>
      <c r="M1141" s="29">
        <f t="shared" si="35"/>
        <v>43252</v>
      </c>
    </row>
    <row r="1142" spans="1:13" ht="21" x14ac:dyDescent="0.35">
      <c r="A1142" s="8">
        <v>2018</v>
      </c>
      <c r="B1142" s="9">
        <v>6</v>
      </c>
      <c r="C1142" s="17" t="s">
        <v>42</v>
      </c>
      <c r="D1142" s="64" t="s">
        <v>113</v>
      </c>
      <c r="E1142" s="9">
        <v>306.1900043</v>
      </c>
      <c r="F1142" s="9">
        <v>6</v>
      </c>
      <c r="G1142" s="9">
        <v>51.03</v>
      </c>
      <c r="H1142" s="9">
        <v>4.5</v>
      </c>
      <c r="I1142" s="9">
        <v>0</v>
      </c>
      <c r="J1142" s="9">
        <v>0</v>
      </c>
      <c r="K1142" s="62" t="s">
        <v>44</v>
      </c>
      <c r="L1142" s="63" t="str">
        <f t="shared" si="34"/>
        <v>Jun-2018</v>
      </c>
      <c r="M1142" s="29">
        <f t="shared" si="35"/>
        <v>43252</v>
      </c>
    </row>
    <row r="1143" spans="1:13" ht="21" x14ac:dyDescent="0.35">
      <c r="A1143" s="8">
        <v>2018</v>
      </c>
      <c r="B1143" s="9">
        <v>6</v>
      </c>
      <c r="C1143" s="17" t="s">
        <v>47</v>
      </c>
      <c r="D1143" s="64" t="s">
        <v>106</v>
      </c>
      <c r="E1143" s="9">
        <v>293.85000230000003</v>
      </c>
      <c r="F1143" s="9">
        <v>9</v>
      </c>
      <c r="G1143" s="9">
        <v>32.65</v>
      </c>
      <c r="H1143" s="9">
        <v>3.6666660000000002</v>
      </c>
      <c r="I1143" s="9">
        <v>0</v>
      </c>
      <c r="J1143" s="9">
        <v>0</v>
      </c>
      <c r="K1143" s="62" t="s">
        <v>44</v>
      </c>
      <c r="L1143" s="63" t="str">
        <f t="shared" si="34"/>
        <v>Jun-2018</v>
      </c>
      <c r="M1143" s="29">
        <f t="shared" si="35"/>
        <v>43252</v>
      </c>
    </row>
    <row r="1144" spans="1:13" ht="21" x14ac:dyDescent="0.35">
      <c r="A1144" s="8">
        <v>2018</v>
      </c>
      <c r="B1144" s="9">
        <v>6</v>
      </c>
      <c r="C1144" s="17" t="s">
        <v>125</v>
      </c>
      <c r="D1144" s="64" t="s">
        <v>87</v>
      </c>
      <c r="E1144" s="9">
        <v>129.3000035</v>
      </c>
      <c r="F1144" s="9">
        <v>3</v>
      </c>
      <c r="G1144" s="9">
        <v>43.1</v>
      </c>
      <c r="H1144" s="9">
        <v>4</v>
      </c>
      <c r="I1144" s="9">
        <v>0</v>
      </c>
      <c r="J1144" s="9">
        <v>0</v>
      </c>
      <c r="K1144" s="62" t="s">
        <v>44</v>
      </c>
      <c r="L1144" s="63" t="str">
        <f t="shared" si="34"/>
        <v>Jun-2018</v>
      </c>
      <c r="M1144" s="29">
        <f t="shared" si="35"/>
        <v>43252</v>
      </c>
    </row>
    <row r="1145" spans="1:13" ht="21" x14ac:dyDescent="0.35">
      <c r="A1145" s="8">
        <v>2018</v>
      </c>
      <c r="B1145" s="9">
        <v>6</v>
      </c>
      <c r="C1145" s="17" t="s">
        <v>76</v>
      </c>
      <c r="D1145" s="64" t="s">
        <v>93</v>
      </c>
      <c r="E1145" s="9">
        <v>109.07999940000001</v>
      </c>
      <c r="F1145" s="9">
        <v>3</v>
      </c>
      <c r="G1145" s="9">
        <v>36.36</v>
      </c>
      <c r="H1145" s="9">
        <v>4.3333329999999997</v>
      </c>
      <c r="I1145" s="9">
        <v>0</v>
      </c>
      <c r="J1145" s="9">
        <v>0</v>
      </c>
      <c r="K1145" s="62" t="s">
        <v>44</v>
      </c>
      <c r="L1145" s="63" t="str">
        <f t="shared" si="34"/>
        <v>Jun-2018</v>
      </c>
      <c r="M1145" s="29">
        <f t="shared" si="35"/>
        <v>43252</v>
      </c>
    </row>
    <row r="1146" spans="1:13" ht="21" x14ac:dyDescent="0.35">
      <c r="A1146" s="8">
        <v>2018</v>
      </c>
      <c r="B1146" s="9">
        <v>6</v>
      </c>
      <c r="C1146" s="17" t="s">
        <v>77</v>
      </c>
      <c r="D1146" s="64" t="s">
        <v>126</v>
      </c>
      <c r="E1146" s="9">
        <v>108</v>
      </c>
      <c r="F1146" s="9">
        <v>1</v>
      </c>
      <c r="G1146" s="9">
        <v>108</v>
      </c>
      <c r="H1146" s="9">
        <v>5</v>
      </c>
      <c r="I1146" s="9">
        <v>0</v>
      </c>
      <c r="J1146" s="9">
        <v>0</v>
      </c>
      <c r="K1146" s="62" t="s">
        <v>44</v>
      </c>
      <c r="L1146" s="63" t="str">
        <f t="shared" si="34"/>
        <v>Jun-2018</v>
      </c>
      <c r="M1146" s="29">
        <f t="shared" si="35"/>
        <v>43252</v>
      </c>
    </row>
    <row r="1147" spans="1:13" ht="21" x14ac:dyDescent="0.35">
      <c r="A1147" s="8">
        <v>2018</v>
      </c>
      <c r="B1147" s="9">
        <v>6</v>
      </c>
      <c r="C1147" s="17" t="s">
        <v>94</v>
      </c>
      <c r="D1147" s="64" t="s">
        <v>116</v>
      </c>
      <c r="E1147" s="9">
        <v>89.989997860000003</v>
      </c>
      <c r="F1147" s="9">
        <v>1</v>
      </c>
      <c r="G1147" s="9">
        <v>89.99</v>
      </c>
      <c r="H1147" s="9">
        <v>5</v>
      </c>
      <c r="I1147" s="9">
        <v>0</v>
      </c>
      <c r="J1147" s="9">
        <v>0</v>
      </c>
      <c r="K1147" s="62" t="s">
        <v>44</v>
      </c>
      <c r="L1147" s="63" t="str">
        <f t="shared" si="34"/>
        <v>Jun-2018</v>
      </c>
      <c r="M1147" s="29">
        <f t="shared" si="35"/>
        <v>43252</v>
      </c>
    </row>
    <row r="1148" spans="1:13" ht="21" x14ac:dyDescent="0.35">
      <c r="A1148" s="8">
        <v>2018</v>
      </c>
      <c r="B1148" s="9">
        <v>6</v>
      </c>
      <c r="C1148" s="17" t="s">
        <v>103</v>
      </c>
      <c r="D1148" s="64" t="s">
        <v>123</v>
      </c>
      <c r="E1148" s="9">
        <v>84.800001140000006</v>
      </c>
      <c r="F1148" s="9">
        <v>2</v>
      </c>
      <c r="G1148" s="9">
        <v>42.4</v>
      </c>
      <c r="H1148" s="9">
        <v>5</v>
      </c>
      <c r="I1148" s="9">
        <v>0</v>
      </c>
      <c r="J1148" s="9">
        <v>0</v>
      </c>
      <c r="K1148" s="62" t="s">
        <v>44</v>
      </c>
      <c r="L1148" s="63" t="str">
        <f t="shared" si="34"/>
        <v>Jun-2018</v>
      </c>
      <c r="M1148" s="29">
        <f t="shared" si="35"/>
        <v>43252</v>
      </c>
    </row>
    <row r="1149" spans="1:13" ht="21" x14ac:dyDescent="0.35">
      <c r="A1149" s="8">
        <v>2018</v>
      </c>
      <c r="B1149" s="9">
        <v>6</v>
      </c>
      <c r="C1149" s="17" t="s">
        <v>109</v>
      </c>
      <c r="D1149" s="64" t="s">
        <v>95</v>
      </c>
      <c r="E1149" s="9">
        <v>50</v>
      </c>
      <c r="F1149" s="9">
        <v>1</v>
      </c>
      <c r="G1149" s="9">
        <v>50</v>
      </c>
      <c r="H1149" s="9">
        <v>4</v>
      </c>
      <c r="I1149" s="9">
        <v>0</v>
      </c>
      <c r="J1149" s="9">
        <v>0</v>
      </c>
      <c r="K1149" s="62" t="s">
        <v>44</v>
      </c>
      <c r="L1149" s="63" t="str">
        <f t="shared" si="34"/>
        <v>Jun-2018</v>
      </c>
      <c r="M1149" s="29">
        <f t="shared" si="35"/>
        <v>43252</v>
      </c>
    </row>
    <row r="1150" spans="1:13" ht="21" x14ac:dyDescent="0.35">
      <c r="A1150" s="8">
        <v>2018</v>
      </c>
      <c r="B1150" s="9">
        <v>6</v>
      </c>
      <c r="C1150" s="17" t="s">
        <v>115</v>
      </c>
      <c r="D1150" s="64" t="s">
        <v>90</v>
      </c>
      <c r="E1150" s="9">
        <v>25.799999239999998</v>
      </c>
      <c r="F1150" s="9">
        <v>1</v>
      </c>
      <c r="G1150" s="9">
        <v>25.8</v>
      </c>
      <c r="H1150" s="9">
        <v>1</v>
      </c>
      <c r="I1150" s="9">
        <v>0</v>
      </c>
      <c r="J1150" s="9">
        <v>0</v>
      </c>
      <c r="K1150" s="62" t="s">
        <v>44</v>
      </c>
      <c r="L1150" s="63" t="str">
        <f t="shared" si="34"/>
        <v>Jun-2018</v>
      </c>
      <c r="M1150" s="29">
        <f t="shared" si="35"/>
        <v>43252</v>
      </c>
    </row>
    <row r="1151" spans="1:13" ht="21" x14ac:dyDescent="0.35">
      <c r="A1151" s="8">
        <v>2018</v>
      </c>
      <c r="B1151" s="9">
        <v>7</v>
      </c>
      <c r="C1151" s="17" t="s">
        <v>118</v>
      </c>
      <c r="D1151" s="64" t="s">
        <v>43</v>
      </c>
      <c r="E1151" s="9">
        <v>105813.03019999999</v>
      </c>
      <c r="F1151" s="9">
        <v>713</v>
      </c>
      <c r="G1151" s="9">
        <v>148.41</v>
      </c>
      <c r="H1151" s="9">
        <v>4.2245759999999999</v>
      </c>
      <c r="I1151" s="9">
        <v>2</v>
      </c>
      <c r="J1151" s="9">
        <v>0.28000000000000003</v>
      </c>
      <c r="K1151" s="62" t="s">
        <v>44</v>
      </c>
      <c r="L1151" s="63" t="str">
        <f t="shared" si="34"/>
        <v>Jul-2018</v>
      </c>
      <c r="M1151" s="29">
        <f t="shared" si="35"/>
        <v>43282</v>
      </c>
    </row>
    <row r="1152" spans="1:13" ht="21" x14ac:dyDescent="0.35">
      <c r="A1152" s="8">
        <v>2018</v>
      </c>
      <c r="B1152" s="9">
        <v>7</v>
      </c>
      <c r="C1152" s="17" t="s">
        <v>120</v>
      </c>
      <c r="D1152" s="64" t="s">
        <v>51</v>
      </c>
      <c r="E1152" s="9">
        <v>96212.590049999999</v>
      </c>
      <c r="F1152" s="9">
        <v>514</v>
      </c>
      <c r="G1152" s="9">
        <v>187.18</v>
      </c>
      <c r="H1152" s="9">
        <v>3.9822829999999998</v>
      </c>
      <c r="I1152" s="9">
        <v>0</v>
      </c>
      <c r="J1152" s="9">
        <v>0</v>
      </c>
      <c r="K1152" s="62" t="s">
        <v>44</v>
      </c>
      <c r="L1152" s="63" t="str">
        <f t="shared" si="34"/>
        <v>Jul-2018</v>
      </c>
      <c r="M1152" s="29">
        <f t="shared" si="35"/>
        <v>43282</v>
      </c>
    </row>
    <row r="1153" spans="1:13" ht="21" x14ac:dyDescent="0.35">
      <c r="A1153" s="8">
        <v>2018</v>
      </c>
      <c r="B1153" s="9">
        <v>7</v>
      </c>
      <c r="C1153" s="17" t="s">
        <v>124</v>
      </c>
      <c r="D1153" s="64" t="s">
        <v>61</v>
      </c>
      <c r="E1153" s="9">
        <v>63409.140019999999</v>
      </c>
      <c r="F1153" s="9">
        <v>474</v>
      </c>
      <c r="G1153" s="9">
        <v>133.77000000000001</v>
      </c>
      <c r="H1153" s="9">
        <v>4.3134319999999997</v>
      </c>
      <c r="I1153" s="9">
        <v>5</v>
      </c>
      <c r="J1153" s="9">
        <v>1.05</v>
      </c>
      <c r="K1153" s="62" t="s">
        <v>44</v>
      </c>
      <c r="L1153" s="63" t="str">
        <f t="shared" si="34"/>
        <v>Jul-2018</v>
      </c>
      <c r="M1153" s="29">
        <f t="shared" si="35"/>
        <v>43282</v>
      </c>
    </row>
    <row r="1154" spans="1:13" ht="21" x14ac:dyDescent="0.35">
      <c r="A1154" s="8">
        <v>2018</v>
      </c>
      <c r="B1154" s="9">
        <v>7</v>
      </c>
      <c r="C1154" s="17" t="s">
        <v>42</v>
      </c>
      <c r="D1154" s="64" t="s">
        <v>52</v>
      </c>
      <c r="E1154" s="9">
        <v>55292.680009999996</v>
      </c>
      <c r="F1154" s="9">
        <v>418</v>
      </c>
      <c r="G1154" s="9">
        <v>132.28</v>
      </c>
      <c r="H1154" s="9">
        <v>4.3237410000000001</v>
      </c>
      <c r="I1154" s="9">
        <v>2</v>
      </c>
      <c r="J1154" s="9">
        <v>0.48</v>
      </c>
      <c r="K1154" s="62" t="s">
        <v>44</v>
      </c>
      <c r="L1154" s="63" t="str">
        <f t="shared" ref="L1154:L1217" si="36">TEXT(DATE(A1154,B1154,1),"mmm-yyyy")</f>
        <v>Jul-2018</v>
      </c>
      <c r="M1154" s="29">
        <f t="shared" ref="M1154:M1217" si="37">DATE(A1154,B1154,1)</f>
        <v>43282</v>
      </c>
    </row>
    <row r="1155" spans="1:13" ht="21" x14ac:dyDescent="0.35">
      <c r="A1155" s="8">
        <v>2018</v>
      </c>
      <c r="B1155" s="9">
        <v>7</v>
      </c>
      <c r="C1155" s="17" t="s">
        <v>47</v>
      </c>
      <c r="D1155" s="64" t="s">
        <v>66</v>
      </c>
      <c r="E1155" s="9">
        <v>55082.820019999999</v>
      </c>
      <c r="F1155" s="9">
        <v>518</v>
      </c>
      <c r="G1155" s="9">
        <v>106.34</v>
      </c>
      <c r="H1155" s="9">
        <v>4.2155329999999998</v>
      </c>
      <c r="I1155" s="9">
        <v>3</v>
      </c>
      <c r="J1155" s="9">
        <v>0.57999999999999996</v>
      </c>
      <c r="K1155" s="62" t="s">
        <v>44</v>
      </c>
      <c r="L1155" s="63" t="str">
        <f t="shared" si="36"/>
        <v>Jul-2018</v>
      </c>
      <c r="M1155" s="29">
        <f t="shared" si="37"/>
        <v>43282</v>
      </c>
    </row>
    <row r="1156" spans="1:13" ht="21" x14ac:dyDescent="0.35">
      <c r="A1156" s="8">
        <v>2018</v>
      </c>
      <c r="B1156" s="9">
        <v>7</v>
      </c>
      <c r="C1156" s="17" t="s">
        <v>125</v>
      </c>
      <c r="D1156" s="64" t="s">
        <v>45</v>
      </c>
      <c r="E1156" s="9">
        <v>45715.489939999999</v>
      </c>
      <c r="F1156" s="9">
        <v>347</v>
      </c>
      <c r="G1156" s="9">
        <v>131.74</v>
      </c>
      <c r="H1156" s="9">
        <v>4.3546509999999996</v>
      </c>
      <c r="I1156" s="9">
        <v>2</v>
      </c>
      <c r="J1156" s="9">
        <v>0.57999999999999996</v>
      </c>
      <c r="K1156" s="62" t="s">
        <v>44</v>
      </c>
      <c r="L1156" s="63" t="str">
        <f t="shared" si="36"/>
        <v>Jul-2018</v>
      </c>
      <c r="M1156" s="29">
        <f t="shared" si="37"/>
        <v>43282</v>
      </c>
    </row>
    <row r="1157" spans="1:13" ht="21" x14ac:dyDescent="0.35">
      <c r="A1157" s="8">
        <v>2018</v>
      </c>
      <c r="B1157" s="9">
        <v>7</v>
      </c>
      <c r="C1157" s="17" t="s">
        <v>76</v>
      </c>
      <c r="D1157" s="64" t="s">
        <v>53</v>
      </c>
      <c r="E1157" s="9">
        <v>43830.290070000003</v>
      </c>
      <c r="F1157" s="9">
        <v>327</v>
      </c>
      <c r="G1157" s="9">
        <v>134.04</v>
      </c>
      <c r="H1157" s="9">
        <v>4.4006109999999996</v>
      </c>
      <c r="I1157" s="9">
        <v>2</v>
      </c>
      <c r="J1157" s="9">
        <v>0.61</v>
      </c>
      <c r="K1157" s="62" t="s">
        <v>44</v>
      </c>
      <c r="L1157" s="63" t="str">
        <f t="shared" si="36"/>
        <v>Jul-2018</v>
      </c>
      <c r="M1157" s="29">
        <f t="shared" si="37"/>
        <v>43282</v>
      </c>
    </row>
    <row r="1158" spans="1:13" ht="21" x14ac:dyDescent="0.35">
      <c r="A1158" s="8">
        <v>2018</v>
      </c>
      <c r="B1158" s="9">
        <v>7</v>
      </c>
      <c r="C1158" s="17" t="s">
        <v>77</v>
      </c>
      <c r="D1158" s="64" t="s">
        <v>56</v>
      </c>
      <c r="E1158" s="9">
        <v>41902.789839999998</v>
      </c>
      <c r="F1158" s="9">
        <v>389</v>
      </c>
      <c r="G1158" s="9">
        <v>107.72</v>
      </c>
      <c r="H1158" s="9">
        <v>4.2293810000000001</v>
      </c>
      <c r="I1158" s="9">
        <v>3</v>
      </c>
      <c r="J1158" s="9">
        <v>0.77</v>
      </c>
      <c r="K1158" s="62" t="s">
        <v>44</v>
      </c>
      <c r="L1158" s="63" t="str">
        <f t="shared" si="36"/>
        <v>Jul-2018</v>
      </c>
      <c r="M1158" s="29">
        <f t="shared" si="37"/>
        <v>43282</v>
      </c>
    </row>
    <row r="1159" spans="1:13" ht="21" x14ac:dyDescent="0.35">
      <c r="A1159" s="8">
        <v>2018</v>
      </c>
      <c r="B1159" s="9">
        <v>7</v>
      </c>
      <c r="C1159" s="17" t="s">
        <v>94</v>
      </c>
      <c r="D1159" s="64" t="s">
        <v>62</v>
      </c>
      <c r="E1159" s="9">
        <v>30551.60974</v>
      </c>
      <c r="F1159" s="9">
        <v>118</v>
      </c>
      <c r="G1159" s="9">
        <v>258.91000000000003</v>
      </c>
      <c r="H1159" s="9">
        <v>4.2669490000000003</v>
      </c>
      <c r="I1159" s="9">
        <v>3</v>
      </c>
      <c r="J1159" s="9">
        <v>2.54</v>
      </c>
      <c r="K1159" s="62" t="s">
        <v>44</v>
      </c>
      <c r="L1159" s="63" t="str">
        <f t="shared" si="36"/>
        <v>Jul-2018</v>
      </c>
      <c r="M1159" s="29">
        <f t="shared" si="37"/>
        <v>43282</v>
      </c>
    </row>
    <row r="1160" spans="1:13" ht="21" x14ac:dyDescent="0.35">
      <c r="A1160" s="8">
        <v>2018</v>
      </c>
      <c r="B1160" s="9">
        <v>7</v>
      </c>
      <c r="C1160" s="17" t="s">
        <v>103</v>
      </c>
      <c r="D1160" s="64" t="s">
        <v>46</v>
      </c>
      <c r="E1160" s="9">
        <v>26939.410039999999</v>
      </c>
      <c r="F1160" s="9">
        <v>206</v>
      </c>
      <c r="G1160" s="9">
        <v>130.77000000000001</v>
      </c>
      <c r="H1160" s="9">
        <v>4.0195119999999998</v>
      </c>
      <c r="I1160" s="9">
        <v>1</v>
      </c>
      <c r="J1160" s="9">
        <v>0.49</v>
      </c>
      <c r="K1160" s="62" t="s">
        <v>44</v>
      </c>
      <c r="L1160" s="63" t="str">
        <f t="shared" si="36"/>
        <v>Jul-2018</v>
      </c>
      <c r="M1160" s="29">
        <f t="shared" si="37"/>
        <v>43282</v>
      </c>
    </row>
    <row r="1161" spans="1:13" ht="21" x14ac:dyDescent="0.35">
      <c r="A1161" s="8">
        <v>2018</v>
      </c>
      <c r="B1161" s="9">
        <v>7</v>
      </c>
      <c r="C1161" s="17" t="s">
        <v>109</v>
      </c>
      <c r="D1161" s="64" t="s">
        <v>57</v>
      </c>
      <c r="E1161" s="9">
        <v>26173.780040000001</v>
      </c>
      <c r="F1161" s="9">
        <v>154</v>
      </c>
      <c r="G1161" s="9">
        <v>169.96</v>
      </c>
      <c r="H1161" s="9">
        <v>4.4183000000000003</v>
      </c>
      <c r="I1161" s="9">
        <v>0</v>
      </c>
      <c r="J1161" s="9">
        <v>0</v>
      </c>
      <c r="K1161" s="62" t="s">
        <v>44</v>
      </c>
      <c r="L1161" s="63" t="str">
        <f t="shared" si="36"/>
        <v>Jul-2018</v>
      </c>
      <c r="M1161" s="29">
        <f t="shared" si="37"/>
        <v>43282</v>
      </c>
    </row>
    <row r="1162" spans="1:13" ht="21" x14ac:dyDescent="0.35">
      <c r="A1162" s="8">
        <v>2018</v>
      </c>
      <c r="B1162" s="9">
        <v>7</v>
      </c>
      <c r="C1162" s="17" t="s">
        <v>115</v>
      </c>
      <c r="D1162" s="64" t="s">
        <v>48</v>
      </c>
      <c r="E1162" s="9">
        <v>22417.770049999999</v>
      </c>
      <c r="F1162" s="9">
        <v>174</v>
      </c>
      <c r="G1162" s="9">
        <v>128.84</v>
      </c>
      <c r="H1162" s="9">
        <v>4.5317910000000001</v>
      </c>
      <c r="I1162" s="9">
        <v>4</v>
      </c>
      <c r="J1162" s="9">
        <v>2.2999999999999998</v>
      </c>
      <c r="K1162" s="62" t="s">
        <v>44</v>
      </c>
      <c r="L1162" s="63" t="str">
        <f t="shared" si="36"/>
        <v>Jul-2018</v>
      </c>
      <c r="M1162" s="29">
        <f t="shared" si="37"/>
        <v>43282</v>
      </c>
    </row>
    <row r="1163" spans="1:13" ht="21" x14ac:dyDescent="0.35">
      <c r="A1163" s="8">
        <v>2018</v>
      </c>
      <c r="B1163" s="9">
        <v>7</v>
      </c>
      <c r="C1163" s="17" t="s">
        <v>118</v>
      </c>
      <c r="D1163" s="64" t="s">
        <v>55</v>
      </c>
      <c r="E1163" s="9">
        <v>22185.95997</v>
      </c>
      <c r="F1163" s="9">
        <v>210</v>
      </c>
      <c r="G1163" s="9">
        <v>105.65</v>
      </c>
      <c r="H1163" s="9">
        <v>4.3125</v>
      </c>
      <c r="I1163" s="9">
        <v>2</v>
      </c>
      <c r="J1163" s="9">
        <v>0.95</v>
      </c>
      <c r="K1163" s="62" t="s">
        <v>44</v>
      </c>
      <c r="L1163" s="63" t="str">
        <f t="shared" si="36"/>
        <v>Jul-2018</v>
      </c>
      <c r="M1163" s="29">
        <f t="shared" si="37"/>
        <v>43282</v>
      </c>
    </row>
    <row r="1164" spans="1:13" ht="21" x14ac:dyDescent="0.35">
      <c r="A1164" s="8">
        <v>2018</v>
      </c>
      <c r="B1164" s="9">
        <v>7</v>
      </c>
      <c r="C1164" s="17" t="s">
        <v>120</v>
      </c>
      <c r="D1164" s="64" t="s">
        <v>64</v>
      </c>
      <c r="E1164" s="9">
        <v>19583.740000000002</v>
      </c>
      <c r="F1164" s="9">
        <v>140</v>
      </c>
      <c r="G1164" s="9">
        <v>139.88</v>
      </c>
      <c r="H1164" s="9">
        <v>4.3669060000000002</v>
      </c>
      <c r="I1164" s="9">
        <v>0</v>
      </c>
      <c r="J1164" s="9">
        <v>0</v>
      </c>
      <c r="K1164" s="62" t="s">
        <v>44</v>
      </c>
      <c r="L1164" s="63" t="str">
        <f t="shared" si="36"/>
        <v>Jul-2018</v>
      </c>
      <c r="M1164" s="29">
        <f t="shared" si="37"/>
        <v>43282</v>
      </c>
    </row>
    <row r="1165" spans="1:13" ht="21" x14ac:dyDescent="0.35">
      <c r="A1165" s="8">
        <v>2018</v>
      </c>
      <c r="B1165" s="9">
        <v>7</v>
      </c>
      <c r="C1165" s="17" t="s">
        <v>124</v>
      </c>
      <c r="D1165" s="64" t="s">
        <v>49</v>
      </c>
      <c r="E1165" s="9">
        <v>17277.289970000002</v>
      </c>
      <c r="F1165" s="9">
        <v>150</v>
      </c>
      <c r="G1165" s="9">
        <v>115.18</v>
      </c>
      <c r="H1165" s="9">
        <v>4.3466659999999999</v>
      </c>
      <c r="I1165" s="9">
        <v>2</v>
      </c>
      <c r="J1165" s="9">
        <v>1.33</v>
      </c>
      <c r="K1165" s="62" t="s">
        <v>44</v>
      </c>
      <c r="L1165" s="63" t="str">
        <f t="shared" si="36"/>
        <v>Jul-2018</v>
      </c>
      <c r="M1165" s="29">
        <f t="shared" si="37"/>
        <v>43282</v>
      </c>
    </row>
    <row r="1166" spans="1:13" ht="21" x14ac:dyDescent="0.35">
      <c r="A1166" s="8">
        <v>2018</v>
      </c>
      <c r="B1166" s="9">
        <v>7</v>
      </c>
      <c r="C1166" s="17" t="s">
        <v>42</v>
      </c>
      <c r="D1166" s="64" t="s">
        <v>81</v>
      </c>
      <c r="E1166" s="9">
        <v>17247.090080000002</v>
      </c>
      <c r="F1166" s="9">
        <v>169</v>
      </c>
      <c r="G1166" s="9">
        <v>102.05</v>
      </c>
      <c r="H1166" s="9">
        <v>4.398809</v>
      </c>
      <c r="I1166" s="9">
        <v>0</v>
      </c>
      <c r="J1166" s="9">
        <v>0</v>
      </c>
      <c r="K1166" s="62" t="s">
        <v>44</v>
      </c>
      <c r="L1166" s="63" t="str">
        <f t="shared" si="36"/>
        <v>Jul-2018</v>
      </c>
      <c r="M1166" s="29">
        <f t="shared" si="37"/>
        <v>43282</v>
      </c>
    </row>
    <row r="1167" spans="1:13" ht="21" x14ac:dyDescent="0.35">
      <c r="A1167" s="8">
        <v>2018</v>
      </c>
      <c r="B1167" s="9">
        <v>7</v>
      </c>
      <c r="C1167" s="17" t="s">
        <v>47</v>
      </c>
      <c r="D1167" s="64" t="s">
        <v>85</v>
      </c>
      <c r="E1167" s="9">
        <v>15237.47006</v>
      </c>
      <c r="F1167" s="9">
        <v>98</v>
      </c>
      <c r="G1167" s="9">
        <v>155.47999999999999</v>
      </c>
      <c r="H1167" s="9">
        <v>4.3298959999999997</v>
      </c>
      <c r="I1167" s="9">
        <v>0</v>
      </c>
      <c r="J1167" s="9">
        <v>0</v>
      </c>
      <c r="K1167" s="62" t="s">
        <v>44</v>
      </c>
      <c r="L1167" s="63" t="str">
        <f t="shared" si="36"/>
        <v>Jul-2018</v>
      </c>
      <c r="M1167" s="29">
        <f t="shared" si="37"/>
        <v>43282</v>
      </c>
    </row>
    <row r="1168" spans="1:13" ht="21" x14ac:dyDescent="0.35">
      <c r="A1168" s="8">
        <v>2018</v>
      </c>
      <c r="B1168" s="9">
        <v>7</v>
      </c>
      <c r="C1168" s="17" t="s">
        <v>125</v>
      </c>
      <c r="D1168" s="64" t="s">
        <v>60</v>
      </c>
      <c r="E1168" s="9">
        <v>13775.26994</v>
      </c>
      <c r="F1168" s="9">
        <v>64</v>
      </c>
      <c r="G1168" s="9">
        <v>215.24</v>
      </c>
      <c r="H1168" s="9">
        <v>3.677419</v>
      </c>
      <c r="I1168" s="9">
        <v>1</v>
      </c>
      <c r="J1168" s="9">
        <v>1.56</v>
      </c>
      <c r="K1168" s="62" t="s">
        <v>44</v>
      </c>
      <c r="L1168" s="63" t="str">
        <f t="shared" si="36"/>
        <v>Jul-2018</v>
      </c>
      <c r="M1168" s="29">
        <f t="shared" si="37"/>
        <v>43282</v>
      </c>
    </row>
    <row r="1169" spans="1:13" ht="21" x14ac:dyDescent="0.35">
      <c r="A1169" s="8">
        <v>2018</v>
      </c>
      <c r="B1169" s="9">
        <v>7</v>
      </c>
      <c r="C1169" s="17" t="s">
        <v>76</v>
      </c>
      <c r="D1169" s="64" t="s">
        <v>79</v>
      </c>
      <c r="E1169" s="9">
        <v>12597.31993</v>
      </c>
      <c r="F1169" s="9">
        <v>22</v>
      </c>
      <c r="G1169" s="9">
        <v>572.61</v>
      </c>
      <c r="H1169" s="9">
        <v>4.1363630000000002</v>
      </c>
      <c r="I1169" s="9">
        <v>0</v>
      </c>
      <c r="J1169" s="9">
        <v>0</v>
      </c>
      <c r="K1169" s="62" t="s">
        <v>44</v>
      </c>
      <c r="L1169" s="63" t="str">
        <f t="shared" si="36"/>
        <v>Jul-2018</v>
      </c>
      <c r="M1169" s="29">
        <f t="shared" si="37"/>
        <v>43282</v>
      </c>
    </row>
    <row r="1170" spans="1:13" ht="21" x14ac:dyDescent="0.35">
      <c r="A1170" s="8">
        <v>2018</v>
      </c>
      <c r="B1170" s="9">
        <v>7</v>
      </c>
      <c r="C1170" s="17" t="s">
        <v>77</v>
      </c>
      <c r="D1170" s="64" t="s">
        <v>78</v>
      </c>
      <c r="E1170" s="9">
        <v>11239</v>
      </c>
      <c r="F1170" s="9">
        <v>8</v>
      </c>
      <c r="G1170" s="9">
        <v>1404.88</v>
      </c>
      <c r="H1170" s="9">
        <v>4.2857139999999996</v>
      </c>
      <c r="I1170" s="9">
        <v>0</v>
      </c>
      <c r="J1170" s="9">
        <v>0</v>
      </c>
      <c r="K1170" s="62" t="s">
        <v>44</v>
      </c>
      <c r="L1170" s="63" t="str">
        <f t="shared" si="36"/>
        <v>Jul-2018</v>
      </c>
      <c r="M1170" s="29">
        <f t="shared" si="37"/>
        <v>43282</v>
      </c>
    </row>
    <row r="1171" spans="1:13" ht="21" x14ac:dyDescent="0.35">
      <c r="A1171" s="8">
        <v>2018</v>
      </c>
      <c r="B1171" s="9">
        <v>7</v>
      </c>
      <c r="C1171" s="17" t="s">
        <v>94</v>
      </c>
      <c r="D1171" s="64" t="s">
        <v>58</v>
      </c>
      <c r="E1171" s="9">
        <v>11150.749980000001</v>
      </c>
      <c r="F1171" s="9">
        <v>145</v>
      </c>
      <c r="G1171" s="9">
        <v>76.900000000000006</v>
      </c>
      <c r="H1171" s="9">
        <v>4.2657340000000001</v>
      </c>
      <c r="I1171" s="9">
        <v>2</v>
      </c>
      <c r="J1171" s="9">
        <v>1.38</v>
      </c>
      <c r="K1171" s="62" t="s">
        <v>44</v>
      </c>
      <c r="L1171" s="63" t="str">
        <f t="shared" si="36"/>
        <v>Jul-2018</v>
      </c>
      <c r="M1171" s="29">
        <f t="shared" si="37"/>
        <v>43282</v>
      </c>
    </row>
    <row r="1172" spans="1:13" ht="21" x14ac:dyDescent="0.35">
      <c r="A1172" s="8">
        <v>2018</v>
      </c>
      <c r="B1172" s="9">
        <v>7</v>
      </c>
      <c r="C1172" s="17" t="s">
        <v>103</v>
      </c>
      <c r="D1172" s="64" t="s">
        <v>84</v>
      </c>
      <c r="E1172" s="9">
        <v>9541.7999940000009</v>
      </c>
      <c r="F1172" s="9">
        <v>33</v>
      </c>
      <c r="G1172" s="9">
        <v>289.14999999999998</v>
      </c>
      <c r="H1172" s="9">
        <v>4.3125</v>
      </c>
      <c r="I1172" s="9">
        <v>1</v>
      </c>
      <c r="J1172" s="9">
        <v>3.03</v>
      </c>
      <c r="K1172" s="62" t="s">
        <v>44</v>
      </c>
      <c r="L1172" s="63" t="str">
        <f t="shared" si="36"/>
        <v>Jul-2018</v>
      </c>
      <c r="M1172" s="29">
        <f t="shared" si="37"/>
        <v>43282</v>
      </c>
    </row>
    <row r="1173" spans="1:13" ht="21" x14ac:dyDescent="0.35">
      <c r="A1173" s="8">
        <v>2018</v>
      </c>
      <c r="B1173" s="9">
        <v>7</v>
      </c>
      <c r="C1173" s="17" t="s">
        <v>109</v>
      </c>
      <c r="D1173" s="64" t="s">
        <v>63</v>
      </c>
      <c r="E1173" s="9">
        <v>9319.3900030000004</v>
      </c>
      <c r="F1173" s="9">
        <v>8</v>
      </c>
      <c r="G1173" s="9">
        <v>1164.92</v>
      </c>
      <c r="H1173" s="9">
        <v>4.125</v>
      </c>
      <c r="I1173" s="9">
        <v>0</v>
      </c>
      <c r="J1173" s="9">
        <v>0</v>
      </c>
      <c r="K1173" s="62" t="s">
        <v>44</v>
      </c>
      <c r="L1173" s="63" t="str">
        <f t="shared" si="36"/>
        <v>Jul-2018</v>
      </c>
      <c r="M1173" s="29">
        <f t="shared" si="37"/>
        <v>43282</v>
      </c>
    </row>
    <row r="1174" spans="1:13" ht="21" x14ac:dyDescent="0.35">
      <c r="A1174" s="8">
        <v>2018</v>
      </c>
      <c r="B1174" s="9">
        <v>7</v>
      </c>
      <c r="C1174" s="17" t="s">
        <v>115</v>
      </c>
      <c r="D1174" s="64" t="s">
        <v>80</v>
      </c>
      <c r="E1174" s="9">
        <v>8711.2500779999991</v>
      </c>
      <c r="F1174" s="9">
        <v>36</v>
      </c>
      <c r="G1174" s="9">
        <v>241.98</v>
      </c>
      <c r="H1174" s="9">
        <v>4.2777770000000004</v>
      </c>
      <c r="I1174" s="9">
        <v>1</v>
      </c>
      <c r="J1174" s="9">
        <v>2.78</v>
      </c>
      <c r="K1174" s="62" t="s">
        <v>44</v>
      </c>
      <c r="L1174" s="63" t="str">
        <f t="shared" si="36"/>
        <v>Jul-2018</v>
      </c>
      <c r="M1174" s="29">
        <f t="shared" si="37"/>
        <v>43282</v>
      </c>
    </row>
    <row r="1175" spans="1:13" ht="21" x14ac:dyDescent="0.35">
      <c r="A1175" s="8">
        <v>2018</v>
      </c>
      <c r="B1175" s="9">
        <v>7</v>
      </c>
      <c r="C1175" s="17" t="s">
        <v>118</v>
      </c>
      <c r="D1175" s="64" t="s">
        <v>50</v>
      </c>
      <c r="E1175" s="9">
        <v>8519.1100179999994</v>
      </c>
      <c r="F1175" s="9">
        <v>49</v>
      </c>
      <c r="G1175" s="9">
        <v>173.86</v>
      </c>
      <c r="H1175" s="9">
        <v>4.2291660000000002</v>
      </c>
      <c r="I1175" s="9">
        <v>0</v>
      </c>
      <c r="J1175" s="9">
        <v>0</v>
      </c>
      <c r="K1175" s="62" t="s">
        <v>44</v>
      </c>
      <c r="L1175" s="63" t="str">
        <f t="shared" si="36"/>
        <v>Jul-2018</v>
      </c>
      <c r="M1175" s="29">
        <f t="shared" si="37"/>
        <v>43282</v>
      </c>
    </row>
    <row r="1176" spans="1:13" ht="21" x14ac:dyDescent="0.35">
      <c r="A1176" s="8">
        <v>2018</v>
      </c>
      <c r="B1176" s="9">
        <v>7</v>
      </c>
      <c r="C1176" s="17" t="s">
        <v>120</v>
      </c>
      <c r="D1176" s="64" t="s">
        <v>91</v>
      </c>
      <c r="E1176" s="9">
        <v>7756.690012</v>
      </c>
      <c r="F1176" s="9">
        <v>29</v>
      </c>
      <c r="G1176" s="9">
        <v>267.47000000000003</v>
      </c>
      <c r="H1176" s="9">
        <v>3.9310339999999999</v>
      </c>
      <c r="I1176" s="9">
        <v>0</v>
      </c>
      <c r="J1176" s="9">
        <v>0</v>
      </c>
      <c r="K1176" s="62" t="s">
        <v>44</v>
      </c>
      <c r="L1176" s="63" t="str">
        <f t="shared" si="36"/>
        <v>Jul-2018</v>
      </c>
      <c r="M1176" s="29">
        <f t="shared" si="37"/>
        <v>43282</v>
      </c>
    </row>
    <row r="1177" spans="1:13" ht="21" x14ac:dyDescent="0.35">
      <c r="A1177" s="8">
        <v>2018</v>
      </c>
      <c r="B1177" s="9">
        <v>7</v>
      </c>
      <c r="C1177" s="17" t="s">
        <v>124</v>
      </c>
      <c r="D1177" s="64" t="s">
        <v>121</v>
      </c>
      <c r="E1177" s="9">
        <v>7249.6100120000001</v>
      </c>
      <c r="F1177" s="9">
        <v>40</v>
      </c>
      <c r="G1177" s="9">
        <v>181.24</v>
      </c>
      <c r="H1177" s="9">
        <v>4.7</v>
      </c>
      <c r="I1177" s="9">
        <v>0</v>
      </c>
      <c r="J1177" s="9">
        <v>0</v>
      </c>
      <c r="K1177" s="62" t="s">
        <v>44</v>
      </c>
      <c r="L1177" s="63" t="str">
        <f t="shared" si="36"/>
        <v>Jul-2018</v>
      </c>
      <c r="M1177" s="29">
        <f t="shared" si="37"/>
        <v>43282</v>
      </c>
    </row>
    <row r="1178" spans="1:13" ht="21" x14ac:dyDescent="0.35">
      <c r="A1178" s="8">
        <v>2018</v>
      </c>
      <c r="B1178" s="9">
        <v>7</v>
      </c>
      <c r="C1178" s="17" t="s">
        <v>42</v>
      </c>
      <c r="D1178" s="64" t="s">
        <v>97</v>
      </c>
      <c r="E1178" s="9">
        <v>6780.1499750000003</v>
      </c>
      <c r="F1178" s="9">
        <v>58</v>
      </c>
      <c r="G1178" s="9">
        <v>116.9</v>
      </c>
      <c r="H1178" s="9">
        <v>4.3275860000000002</v>
      </c>
      <c r="I1178" s="9">
        <v>0</v>
      </c>
      <c r="J1178" s="9">
        <v>0</v>
      </c>
      <c r="K1178" s="62" t="s">
        <v>44</v>
      </c>
      <c r="L1178" s="63" t="str">
        <f t="shared" si="36"/>
        <v>Jul-2018</v>
      </c>
      <c r="M1178" s="29">
        <f t="shared" si="37"/>
        <v>43282</v>
      </c>
    </row>
    <row r="1179" spans="1:13" ht="21" x14ac:dyDescent="0.35">
      <c r="A1179" s="8">
        <v>2018</v>
      </c>
      <c r="B1179" s="9">
        <v>7</v>
      </c>
      <c r="C1179" s="17" t="s">
        <v>47</v>
      </c>
      <c r="D1179" s="64" t="s">
        <v>82</v>
      </c>
      <c r="E1179" s="9">
        <v>6779.629911</v>
      </c>
      <c r="F1179" s="9">
        <v>50</v>
      </c>
      <c r="G1179" s="9">
        <v>135.59</v>
      </c>
      <c r="H1179" s="9">
        <v>4.24</v>
      </c>
      <c r="I1179" s="9">
        <v>0</v>
      </c>
      <c r="J1179" s="9">
        <v>0</v>
      </c>
      <c r="K1179" s="62" t="s">
        <v>44</v>
      </c>
      <c r="L1179" s="63" t="str">
        <f t="shared" si="36"/>
        <v>Jul-2018</v>
      </c>
      <c r="M1179" s="29">
        <f t="shared" si="37"/>
        <v>43282</v>
      </c>
    </row>
    <row r="1180" spans="1:13" ht="21" x14ac:dyDescent="0.35">
      <c r="A1180" s="8">
        <v>2018</v>
      </c>
      <c r="B1180" s="9">
        <v>7</v>
      </c>
      <c r="C1180" s="17" t="s">
        <v>125</v>
      </c>
      <c r="D1180" s="64" t="s">
        <v>65</v>
      </c>
      <c r="E1180" s="9">
        <v>6161.8700200000003</v>
      </c>
      <c r="F1180" s="9">
        <v>76</v>
      </c>
      <c r="G1180" s="9">
        <v>81.08</v>
      </c>
      <c r="H1180" s="9">
        <v>4.5526309999999999</v>
      </c>
      <c r="I1180" s="9">
        <v>0</v>
      </c>
      <c r="J1180" s="9">
        <v>0</v>
      </c>
      <c r="K1180" s="62" t="s">
        <v>44</v>
      </c>
      <c r="L1180" s="63" t="str">
        <f t="shared" si="36"/>
        <v>Jul-2018</v>
      </c>
      <c r="M1180" s="29">
        <f t="shared" si="37"/>
        <v>43282</v>
      </c>
    </row>
    <row r="1181" spans="1:13" ht="21" x14ac:dyDescent="0.35">
      <c r="A1181" s="8">
        <v>2018</v>
      </c>
      <c r="B1181" s="9">
        <v>7</v>
      </c>
      <c r="C1181" s="17" t="s">
        <v>76</v>
      </c>
      <c r="D1181" s="64" t="s">
        <v>83</v>
      </c>
      <c r="E1181" s="9">
        <v>5821.7199549999996</v>
      </c>
      <c r="F1181" s="9">
        <v>53</v>
      </c>
      <c r="G1181" s="9">
        <v>109.84</v>
      </c>
      <c r="H1181" s="9">
        <v>4.3584899999999998</v>
      </c>
      <c r="I1181" s="9">
        <v>0</v>
      </c>
      <c r="J1181" s="9">
        <v>0</v>
      </c>
      <c r="K1181" s="62" t="s">
        <v>44</v>
      </c>
      <c r="L1181" s="63" t="str">
        <f t="shared" si="36"/>
        <v>Jul-2018</v>
      </c>
      <c r="M1181" s="29">
        <f t="shared" si="37"/>
        <v>43282</v>
      </c>
    </row>
    <row r="1182" spans="1:13" ht="21" x14ac:dyDescent="0.35">
      <c r="A1182" s="8">
        <v>2018</v>
      </c>
      <c r="B1182" s="9">
        <v>7</v>
      </c>
      <c r="C1182" s="17" t="s">
        <v>77</v>
      </c>
      <c r="D1182" s="64" t="s">
        <v>110</v>
      </c>
      <c r="E1182" s="9">
        <v>5501.1999969999997</v>
      </c>
      <c r="F1182" s="9">
        <v>10</v>
      </c>
      <c r="G1182" s="9">
        <v>550.12</v>
      </c>
      <c r="H1182" s="9">
        <v>4.9000000000000004</v>
      </c>
      <c r="I1182" s="9">
        <v>0</v>
      </c>
      <c r="J1182" s="9">
        <v>0</v>
      </c>
      <c r="K1182" s="62" t="s">
        <v>44</v>
      </c>
      <c r="L1182" s="63" t="str">
        <f t="shared" si="36"/>
        <v>Jul-2018</v>
      </c>
      <c r="M1182" s="29">
        <f t="shared" si="37"/>
        <v>43282</v>
      </c>
    </row>
    <row r="1183" spans="1:13" ht="21" x14ac:dyDescent="0.35">
      <c r="A1183" s="8">
        <v>2018</v>
      </c>
      <c r="B1183" s="9">
        <v>7</v>
      </c>
      <c r="C1183" s="17" t="s">
        <v>94</v>
      </c>
      <c r="D1183" s="64" t="s">
        <v>96</v>
      </c>
      <c r="E1183" s="9">
        <v>5290.629997</v>
      </c>
      <c r="F1183" s="9">
        <v>79</v>
      </c>
      <c r="G1183" s="9">
        <v>66.97</v>
      </c>
      <c r="H1183" s="9">
        <v>4.4025970000000001</v>
      </c>
      <c r="I1183" s="9">
        <v>0</v>
      </c>
      <c r="J1183" s="9">
        <v>0</v>
      </c>
      <c r="K1183" s="62" t="s">
        <v>44</v>
      </c>
      <c r="L1183" s="63" t="str">
        <f t="shared" si="36"/>
        <v>Jul-2018</v>
      </c>
      <c r="M1183" s="29">
        <f t="shared" si="37"/>
        <v>43282</v>
      </c>
    </row>
    <row r="1184" spans="1:13" ht="21" x14ac:dyDescent="0.35">
      <c r="A1184" s="8">
        <v>2018</v>
      </c>
      <c r="B1184" s="9">
        <v>7</v>
      </c>
      <c r="C1184" s="17" t="s">
        <v>103</v>
      </c>
      <c r="D1184" s="64" t="s">
        <v>119</v>
      </c>
      <c r="E1184" s="9">
        <v>4699.6699930000004</v>
      </c>
      <c r="F1184" s="9">
        <v>14</v>
      </c>
      <c r="G1184" s="9">
        <v>335.69</v>
      </c>
      <c r="H1184" s="9">
        <v>4.8571419999999996</v>
      </c>
      <c r="I1184" s="9">
        <v>0</v>
      </c>
      <c r="J1184" s="9">
        <v>0</v>
      </c>
      <c r="K1184" s="62" t="s">
        <v>44</v>
      </c>
      <c r="L1184" s="63" t="str">
        <f t="shared" si="36"/>
        <v>Jul-2018</v>
      </c>
      <c r="M1184" s="29">
        <f t="shared" si="37"/>
        <v>43282</v>
      </c>
    </row>
    <row r="1185" spans="1:13" ht="21" x14ac:dyDescent="0.35">
      <c r="A1185" s="8">
        <v>2018</v>
      </c>
      <c r="B1185" s="9">
        <v>7</v>
      </c>
      <c r="C1185" s="17" t="s">
        <v>109</v>
      </c>
      <c r="D1185" s="64" t="s">
        <v>67</v>
      </c>
      <c r="E1185" s="9">
        <v>4697.2099989999997</v>
      </c>
      <c r="F1185" s="9">
        <v>13</v>
      </c>
      <c r="G1185" s="9">
        <v>361.32</v>
      </c>
      <c r="H1185" s="9">
        <v>4.2307689999999996</v>
      </c>
      <c r="I1185" s="9">
        <v>0</v>
      </c>
      <c r="J1185" s="9">
        <v>0</v>
      </c>
      <c r="K1185" s="62" t="s">
        <v>44</v>
      </c>
      <c r="L1185" s="63" t="str">
        <f t="shared" si="36"/>
        <v>Jul-2018</v>
      </c>
      <c r="M1185" s="29">
        <f t="shared" si="37"/>
        <v>43282</v>
      </c>
    </row>
    <row r="1186" spans="1:13" ht="21" x14ac:dyDescent="0.35">
      <c r="A1186" s="8">
        <v>2018</v>
      </c>
      <c r="B1186" s="9">
        <v>7</v>
      </c>
      <c r="C1186" s="17" t="s">
        <v>115</v>
      </c>
      <c r="D1186" s="64" t="s">
        <v>0</v>
      </c>
      <c r="E1186" s="9">
        <v>4612.0000330000003</v>
      </c>
      <c r="F1186" s="9">
        <v>42</v>
      </c>
      <c r="G1186" s="9">
        <v>109.81</v>
      </c>
      <c r="H1186" s="9" t="s">
        <v>0</v>
      </c>
      <c r="I1186" s="9" t="s">
        <v>0</v>
      </c>
      <c r="J1186" s="9" t="s">
        <v>0</v>
      </c>
      <c r="K1186" s="62" t="s">
        <v>44</v>
      </c>
      <c r="L1186" s="63" t="str">
        <f t="shared" si="36"/>
        <v>Jul-2018</v>
      </c>
      <c r="M1186" s="29">
        <f t="shared" si="37"/>
        <v>43282</v>
      </c>
    </row>
    <row r="1187" spans="1:13" ht="21" x14ac:dyDescent="0.35">
      <c r="A1187" s="8">
        <v>2018</v>
      </c>
      <c r="B1187" s="9">
        <v>7</v>
      </c>
      <c r="C1187" s="17" t="s">
        <v>118</v>
      </c>
      <c r="D1187" s="64" t="s">
        <v>71</v>
      </c>
      <c r="E1187" s="9">
        <v>4077.4501150000001</v>
      </c>
      <c r="F1187" s="9">
        <v>25</v>
      </c>
      <c r="G1187" s="9">
        <v>163.1</v>
      </c>
      <c r="H1187" s="9">
        <v>4.4400000000000004</v>
      </c>
      <c r="I1187" s="9">
        <v>0</v>
      </c>
      <c r="J1187" s="9">
        <v>0</v>
      </c>
      <c r="K1187" s="62" t="s">
        <v>44</v>
      </c>
      <c r="L1187" s="63" t="str">
        <f t="shared" si="36"/>
        <v>Jul-2018</v>
      </c>
      <c r="M1187" s="29">
        <f t="shared" si="37"/>
        <v>43282</v>
      </c>
    </row>
    <row r="1188" spans="1:13" ht="21" x14ac:dyDescent="0.35">
      <c r="A1188" s="8">
        <v>2018</v>
      </c>
      <c r="B1188" s="9">
        <v>7</v>
      </c>
      <c r="C1188" s="17" t="s">
        <v>120</v>
      </c>
      <c r="D1188" s="64" t="s">
        <v>88</v>
      </c>
      <c r="E1188" s="9">
        <v>3875.9500309999999</v>
      </c>
      <c r="F1188" s="9">
        <v>21</v>
      </c>
      <c r="G1188" s="9">
        <v>184.57</v>
      </c>
      <c r="H1188" s="9">
        <v>4.6666660000000002</v>
      </c>
      <c r="I1188" s="9">
        <v>0</v>
      </c>
      <c r="J1188" s="9">
        <v>0</v>
      </c>
      <c r="K1188" s="62" t="s">
        <v>44</v>
      </c>
      <c r="L1188" s="63" t="str">
        <f t="shared" si="36"/>
        <v>Jul-2018</v>
      </c>
      <c r="M1188" s="29">
        <f t="shared" si="37"/>
        <v>43282</v>
      </c>
    </row>
    <row r="1189" spans="1:13" ht="21" x14ac:dyDescent="0.35">
      <c r="A1189" s="8">
        <v>2018</v>
      </c>
      <c r="B1189" s="9">
        <v>7</v>
      </c>
      <c r="C1189" s="17" t="s">
        <v>124</v>
      </c>
      <c r="D1189" s="64" t="s">
        <v>107</v>
      </c>
      <c r="E1189" s="9">
        <v>3785.1899950000002</v>
      </c>
      <c r="F1189" s="9">
        <v>19</v>
      </c>
      <c r="G1189" s="9">
        <v>199.22</v>
      </c>
      <c r="H1189" s="9">
        <v>4.2105259999999998</v>
      </c>
      <c r="I1189" s="9">
        <v>0</v>
      </c>
      <c r="J1189" s="9">
        <v>0</v>
      </c>
      <c r="K1189" s="62" t="s">
        <v>44</v>
      </c>
      <c r="L1189" s="63" t="str">
        <f t="shared" si="36"/>
        <v>Jul-2018</v>
      </c>
      <c r="M1189" s="29">
        <f t="shared" si="37"/>
        <v>43282</v>
      </c>
    </row>
    <row r="1190" spans="1:13" ht="21" x14ac:dyDescent="0.35">
      <c r="A1190" s="8">
        <v>2018</v>
      </c>
      <c r="B1190" s="9">
        <v>7</v>
      </c>
      <c r="C1190" s="17" t="s">
        <v>42</v>
      </c>
      <c r="D1190" s="64" t="s">
        <v>72</v>
      </c>
      <c r="E1190" s="9">
        <v>3378.1699960000001</v>
      </c>
      <c r="F1190" s="9">
        <v>59</v>
      </c>
      <c r="G1190" s="9">
        <v>57.26</v>
      </c>
      <c r="H1190" s="9">
        <v>4.3103439999999997</v>
      </c>
      <c r="I1190" s="9">
        <v>0</v>
      </c>
      <c r="J1190" s="9">
        <v>0</v>
      </c>
      <c r="K1190" s="62" t="s">
        <v>44</v>
      </c>
      <c r="L1190" s="63" t="str">
        <f t="shared" si="36"/>
        <v>Jul-2018</v>
      </c>
      <c r="M1190" s="29">
        <f t="shared" si="37"/>
        <v>43282</v>
      </c>
    </row>
    <row r="1191" spans="1:13" ht="21" x14ac:dyDescent="0.35">
      <c r="A1191" s="8">
        <v>2018</v>
      </c>
      <c r="B1191" s="9">
        <v>7</v>
      </c>
      <c r="C1191" s="17" t="s">
        <v>47</v>
      </c>
      <c r="D1191" s="64" t="s">
        <v>99</v>
      </c>
      <c r="E1191" s="9">
        <v>2984.3800350000001</v>
      </c>
      <c r="F1191" s="9">
        <v>24</v>
      </c>
      <c r="G1191" s="9">
        <v>124.35</v>
      </c>
      <c r="H1191" s="9">
        <v>4.2083329999999997</v>
      </c>
      <c r="I1191" s="9">
        <v>0</v>
      </c>
      <c r="J1191" s="9">
        <v>0</v>
      </c>
      <c r="K1191" s="62" t="s">
        <v>44</v>
      </c>
      <c r="L1191" s="63" t="str">
        <f t="shared" si="36"/>
        <v>Jul-2018</v>
      </c>
      <c r="M1191" s="29">
        <f t="shared" si="37"/>
        <v>43282</v>
      </c>
    </row>
    <row r="1192" spans="1:13" ht="21" x14ac:dyDescent="0.35">
      <c r="A1192" s="8">
        <v>2018</v>
      </c>
      <c r="B1192" s="9">
        <v>7</v>
      </c>
      <c r="C1192" s="17" t="s">
        <v>125</v>
      </c>
      <c r="D1192" s="64" t="s">
        <v>54</v>
      </c>
      <c r="E1192" s="9">
        <v>2657.8600120000001</v>
      </c>
      <c r="F1192" s="9">
        <v>15</v>
      </c>
      <c r="G1192" s="9">
        <v>177.19</v>
      </c>
      <c r="H1192" s="9">
        <v>4.1333330000000004</v>
      </c>
      <c r="I1192" s="9">
        <v>0</v>
      </c>
      <c r="J1192" s="9">
        <v>0</v>
      </c>
      <c r="K1192" s="62" t="s">
        <v>44</v>
      </c>
      <c r="L1192" s="63" t="str">
        <f t="shared" si="36"/>
        <v>Jul-2018</v>
      </c>
      <c r="M1192" s="29">
        <f t="shared" si="37"/>
        <v>43282</v>
      </c>
    </row>
    <row r="1193" spans="1:13" ht="21" x14ac:dyDescent="0.35">
      <c r="A1193" s="8">
        <v>2018</v>
      </c>
      <c r="B1193" s="9">
        <v>7</v>
      </c>
      <c r="C1193" s="17" t="s">
        <v>76</v>
      </c>
      <c r="D1193" s="64" t="s">
        <v>68</v>
      </c>
      <c r="E1193" s="9">
        <v>2106.810015</v>
      </c>
      <c r="F1193" s="9">
        <v>28</v>
      </c>
      <c r="G1193" s="9">
        <v>75.239999999999995</v>
      </c>
      <c r="H1193" s="9">
        <v>4.0384609999999999</v>
      </c>
      <c r="I1193" s="9">
        <v>0</v>
      </c>
      <c r="J1193" s="9">
        <v>0</v>
      </c>
      <c r="K1193" s="62" t="s">
        <v>44</v>
      </c>
      <c r="L1193" s="63" t="str">
        <f t="shared" si="36"/>
        <v>Jul-2018</v>
      </c>
      <c r="M1193" s="29">
        <f t="shared" si="37"/>
        <v>43282</v>
      </c>
    </row>
    <row r="1194" spans="1:13" ht="21" x14ac:dyDescent="0.35">
      <c r="A1194" s="8">
        <v>2018</v>
      </c>
      <c r="B1194" s="9">
        <v>7</v>
      </c>
      <c r="C1194" s="17" t="s">
        <v>77</v>
      </c>
      <c r="D1194" s="64" t="s">
        <v>69</v>
      </c>
      <c r="E1194" s="9">
        <v>2062.6399879999999</v>
      </c>
      <c r="F1194" s="9">
        <v>21</v>
      </c>
      <c r="G1194" s="9">
        <v>98.22</v>
      </c>
      <c r="H1194" s="9">
        <v>4.3809519999999997</v>
      </c>
      <c r="I1194" s="9">
        <v>0</v>
      </c>
      <c r="J1194" s="9">
        <v>0</v>
      </c>
      <c r="K1194" s="62" t="s">
        <v>44</v>
      </c>
      <c r="L1194" s="63" t="str">
        <f t="shared" si="36"/>
        <v>Jul-2018</v>
      </c>
      <c r="M1194" s="29">
        <f t="shared" si="37"/>
        <v>43282</v>
      </c>
    </row>
    <row r="1195" spans="1:13" ht="21" x14ac:dyDescent="0.35">
      <c r="A1195" s="8">
        <v>2018</v>
      </c>
      <c r="B1195" s="9">
        <v>7</v>
      </c>
      <c r="C1195" s="17" t="s">
        <v>94</v>
      </c>
      <c r="D1195" s="64" t="s">
        <v>98</v>
      </c>
      <c r="E1195" s="9">
        <v>1956.4700089999999</v>
      </c>
      <c r="F1195" s="9">
        <v>20</v>
      </c>
      <c r="G1195" s="9">
        <v>97.82</v>
      </c>
      <c r="H1195" s="9">
        <v>4.2</v>
      </c>
      <c r="I1195" s="9">
        <v>1</v>
      </c>
      <c r="J1195" s="9">
        <v>5</v>
      </c>
      <c r="K1195" s="62" t="s">
        <v>44</v>
      </c>
      <c r="L1195" s="63" t="str">
        <f t="shared" si="36"/>
        <v>Jul-2018</v>
      </c>
      <c r="M1195" s="29">
        <f t="shared" si="37"/>
        <v>43282</v>
      </c>
    </row>
    <row r="1196" spans="1:13" ht="21" x14ac:dyDescent="0.35">
      <c r="A1196" s="8">
        <v>2018</v>
      </c>
      <c r="B1196" s="9">
        <v>7</v>
      </c>
      <c r="C1196" s="17" t="s">
        <v>103</v>
      </c>
      <c r="D1196" s="64" t="s">
        <v>100</v>
      </c>
      <c r="E1196" s="9">
        <v>1888.9499989999999</v>
      </c>
      <c r="F1196" s="9">
        <v>15</v>
      </c>
      <c r="G1196" s="9">
        <v>125.93</v>
      </c>
      <c r="H1196" s="9">
        <v>4.2666659999999998</v>
      </c>
      <c r="I1196" s="9">
        <v>0</v>
      </c>
      <c r="J1196" s="9">
        <v>0</v>
      </c>
      <c r="K1196" s="62" t="s">
        <v>44</v>
      </c>
      <c r="L1196" s="63" t="str">
        <f t="shared" si="36"/>
        <v>Jul-2018</v>
      </c>
      <c r="M1196" s="29">
        <f t="shared" si="37"/>
        <v>43282</v>
      </c>
    </row>
    <row r="1197" spans="1:13" ht="21" x14ac:dyDescent="0.35">
      <c r="A1197" s="8">
        <v>2018</v>
      </c>
      <c r="B1197" s="9">
        <v>7</v>
      </c>
      <c r="C1197" s="17" t="s">
        <v>109</v>
      </c>
      <c r="D1197" s="64" t="s">
        <v>105</v>
      </c>
      <c r="E1197" s="9">
        <v>1843.199963</v>
      </c>
      <c r="F1197" s="9">
        <v>21</v>
      </c>
      <c r="G1197" s="9">
        <v>87.77</v>
      </c>
      <c r="H1197" s="9">
        <v>3.809523</v>
      </c>
      <c r="I1197" s="9">
        <v>0</v>
      </c>
      <c r="J1197" s="9">
        <v>0</v>
      </c>
      <c r="K1197" s="62" t="s">
        <v>44</v>
      </c>
      <c r="L1197" s="63" t="str">
        <f t="shared" si="36"/>
        <v>Jul-2018</v>
      </c>
      <c r="M1197" s="29">
        <f t="shared" si="37"/>
        <v>43282</v>
      </c>
    </row>
    <row r="1198" spans="1:13" ht="21" x14ac:dyDescent="0.35">
      <c r="A1198" s="8">
        <v>2018</v>
      </c>
      <c r="B1198" s="9">
        <v>7</v>
      </c>
      <c r="C1198" s="17" t="s">
        <v>115</v>
      </c>
      <c r="D1198" s="64" t="s">
        <v>89</v>
      </c>
      <c r="E1198" s="9">
        <v>1386.8999940000001</v>
      </c>
      <c r="F1198" s="9">
        <v>7</v>
      </c>
      <c r="G1198" s="9">
        <v>198.13</v>
      </c>
      <c r="H1198" s="9">
        <v>4</v>
      </c>
      <c r="I1198" s="9">
        <v>0</v>
      </c>
      <c r="J1198" s="9">
        <v>0</v>
      </c>
      <c r="K1198" s="62" t="s">
        <v>44</v>
      </c>
      <c r="L1198" s="63" t="str">
        <f t="shared" si="36"/>
        <v>Jul-2018</v>
      </c>
      <c r="M1198" s="29">
        <f t="shared" si="37"/>
        <v>43282</v>
      </c>
    </row>
    <row r="1199" spans="1:13" ht="21" x14ac:dyDescent="0.35">
      <c r="A1199" s="8">
        <v>2018</v>
      </c>
      <c r="B1199" s="9">
        <v>7</v>
      </c>
      <c r="C1199" s="17" t="s">
        <v>118</v>
      </c>
      <c r="D1199" s="64" t="s">
        <v>104</v>
      </c>
      <c r="E1199" s="9">
        <v>1335.1699980000001</v>
      </c>
      <c r="F1199" s="9">
        <v>17</v>
      </c>
      <c r="G1199" s="9">
        <v>78.540000000000006</v>
      </c>
      <c r="H1199" s="9">
        <v>4.8235289999999997</v>
      </c>
      <c r="I1199" s="9">
        <v>0</v>
      </c>
      <c r="J1199" s="9">
        <v>0</v>
      </c>
      <c r="K1199" s="62" t="s">
        <v>44</v>
      </c>
      <c r="L1199" s="63" t="str">
        <f t="shared" si="36"/>
        <v>Jul-2018</v>
      </c>
      <c r="M1199" s="29">
        <f t="shared" si="37"/>
        <v>43282</v>
      </c>
    </row>
    <row r="1200" spans="1:13" ht="21" x14ac:dyDescent="0.35">
      <c r="A1200" s="8">
        <v>2018</v>
      </c>
      <c r="B1200" s="9">
        <v>7</v>
      </c>
      <c r="C1200" s="17" t="s">
        <v>120</v>
      </c>
      <c r="D1200" s="64" t="s">
        <v>102</v>
      </c>
      <c r="E1200" s="9">
        <v>1178.5399910000001</v>
      </c>
      <c r="F1200" s="9">
        <v>7</v>
      </c>
      <c r="G1200" s="9">
        <v>168.36</v>
      </c>
      <c r="H1200" s="9">
        <v>4.4285709999999998</v>
      </c>
      <c r="I1200" s="9">
        <v>0</v>
      </c>
      <c r="J1200" s="9">
        <v>0</v>
      </c>
      <c r="K1200" s="62" t="s">
        <v>44</v>
      </c>
      <c r="L1200" s="63" t="str">
        <f t="shared" si="36"/>
        <v>Jul-2018</v>
      </c>
      <c r="M1200" s="29">
        <f t="shared" si="37"/>
        <v>43282</v>
      </c>
    </row>
    <row r="1201" spans="1:13" ht="21" x14ac:dyDescent="0.35">
      <c r="A1201" s="8">
        <v>2018</v>
      </c>
      <c r="B1201" s="9">
        <v>7</v>
      </c>
      <c r="C1201" s="17" t="s">
        <v>124</v>
      </c>
      <c r="D1201" s="64" t="s">
        <v>93</v>
      </c>
      <c r="E1201" s="9">
        <v>849.30000110000003</v>
      </c>
      <c r="F1201" s="9">
        <v>3</v>
      </c>
      <c r="G1201" s="9">
        <v>283.10000000000002</v>
      </c>
      <c r="H1201" s="9">
        <v>5</v>
      </c>
      <c r="I1201" s="9">
        <v>0</v>
      </c>
      <c r="J1201" s="9">
        <v>0</v>
      </c>
      <c r="K1201" s="62" t="s">
        <v>44</v>
      </c>
      <c r="L1201" s="63" t="str">
        <f t="shared" si="36"/>
        <v>Jul-2018</v>
      </c>
      <c r="M1201" s="29">
        <f t="shared" si="37"/>
        <v>43282</v>
      </c>
    </row>
    <row r="1202" spans="1:13" ht="21" x14ac:dyDescent="0.35">
      <c r="A1202" s="8">
        <v>2018</v>
      </c>
      <c r="B1202" s="9">
        <v>7</v>
      </c>
      <c r="C1202" s="17" t="s">
        <v>42</v>
      </c>
      <c r="D1202" s="64" t="s">
        <v>74</v>
      </c>
      <c r="E1202" s="9">
        <v>820.18998720000002</v>
      </c>
      <c r="F1202" s="9">
        <v>5</v>
      </c>
      <c r="G1202" s="9">
        <v>164.04</v>
      </c>
      <c r="H1202" s="9">
        <v>4.8</v>
      </c>
      <c r="I1202" s="9">
        <v>0</v>
      </c>
      <c r="J1202" s="9">
        <v>0</v>
      </c>
      <c r="K1202" s="62" t="s">
        <v>44</v>
      </c>
      <c r="L1202" s="63" t="str">
        <f t="shared" si="36"/>
        <v>Jul-2018</v>
      </c>
      <c r="M1202" s="29">
        <f t="shared" si="37"/>
        <v>43282</v>
      </c>
    </row>
    <row r="1203" spans="1:13" ht="21" x14ac:dyDescent="0.35">
      <c r="A1203" s="8">
        <v>2018</v>
      </c>
      <c r="B1203" s="9">
        <v>7</v>
      </c>
      <c r="C1203" s="17" t="s">
        <v>47</v>
      </c>
      <c r="D1203" s="64" t="s">
        <v>106</v>
      </c>
      <c r="E1203" s="9">
        <v>813.73000139999999</v>
      </c>
      <c r="F1203" s="9">
        <v>15</v>
      </c>
      <c r="G1203" s="9">
        <v>54.25</v>
      </c>
      <c r="H1203" s="9">
        <v>4.4000000000000004</v>
      </c>
      <c r="I1203" s="9">
        <v>1</v>
      </c>
      <c r="J1203" s="9">
        <v>6.67</v>
      </c>
      <c r="K1203" s="62" t="s">
        <v>44</v>
      </c>
      <c r="L1203" s="63" t="str">
        <f t="shared" si="36"/>
        <v>Jul-2018</v>
      </c>
      <c r="M1203" s="29">
        <f t="shared" si="37"/>
        <v>43282</v>
      </c>
    </row>
    <row r="1204" spans="1:13" ht="21" x14ac:dyDescent="0.35">
      <c r="A1204" s="8">
        <v>2018</v>
      </c>
      <c r="B1204" s="9">
        <v>7</v>
      </c>
      <c r="C1204" s="17" t="s">
        <v>125</v>
      </c>
      <c r="D1204" s="64" t="s">
        <v>111</v>
      </c>
      <c r="E1204" s="9">
        <v>677</v>
      </c>
      <c r="F1204" s="9">
        <v>2</v>
      </c>
      <c r="G1204" s="9">
        <v>338.5</v>
      </c>
      <c r="H1204" s="9">
        <v>3</v>
      </c>
      <c r="I1204" s="9">
        <v>1</v>
      </c>
      <c r="J1204" s="9">
        <v>50</v>
      </c>
      <c r="K1204" s="62" t="s">
        <v>44</v>
      </c>
      <c r="L1204" s="63" t="str">
        <f t="shared" si="36"/>
        <v>Jul-2018</v>
      </c>
      <c r="M1204" s="29">
        <f t="shared" si="37"/>
        <v>43282</v>
      </c>
    </row>
    <row r="1205" spans="1:13" ht="21" x14ac:dyDescent="0.35">
      <c r="A1205" s="8">
        <v>2018</v>
      </c>
      <c r="B1205" s="9">
        <v>7</v>
      </c>
      <c r="C1205" s="17" t="s">
        <v>76</v>
      </c>
      <c r="D1205" s="64" t="s">
        <v>117</v>
      </c>
      <c r="E1205" s="9">
        <v>654.57002160000002</v>
      </c>
      <c r="F1205" s="9">
        <v>10</v>
      </c>
      <c r="G1205" s="9">
        <v>65.459999999999994</v>
      </c>
      <c r="H1205" s="9">
        <v>3.7</v>
      </c>
      <c r="I1205" s="9">
        <v>0</v>
      </c>
      <c r="J1205" s="9">
        <v>0</v>
      </c>
      <c r="K1205" s="62" t="s">
        <v>44</v>
      </c>
      <c r="L1205" s="63" t="str">
        <f t="shared" si="36"/>
        <v>Jul-2018</v>
      </c>
      <c r="M1205" s="29">
        <f t="shared" si="37"/>
        <v>43282</v>
      </c>
    </row>
    <row r="1206" spans="1:13" ht="21" x14ac:dyDescent="0.35">
      <c r="A1206" s="8">
        <v>2018</v>
      </c>
      <c r="B1206" s="9">
        <v>7</v>
      </c>
      <c r="C1206" s="17" t="s">
        <v>77</v>
      </c>
      <c r="D1206" s="64" t="s">
        <v>113</v>
      </c>
      <c r="E1206" s="9">
        <v>509.56000230000001</v>
      </c>
      <c r="F1206" s="9">
        <v>8</v>
      </c>
      <c r="G1206" s="9">
        <v>63.7</v>
      </c>
      <c r="H1206" s="9">
        <v>4.375</v>
      </c>
      <c r="I1206" s="9">
        <v>0</v>
      </c>
      <c r="J1206" s="9">
        <v>0</v>
      </c>
      <c r="K1206" s="62" t="s">
        <v>44</v>
      </c>
      <c r="L1206" s="63" t="str">
        <f t="shared" si="36"/>
        <v>Jul-2018</v>
      </c>
      <c r="M1206" s="29">
        <f t="shared" si="37"/>
        <v>43282</v>
      </c>
    </row>
    <row r="1207" spans="1:13" ht="21" x14ac:dyDescent="0.35">
      <c r="A1207" s="8">
        <v>2018</v>
      </c>
      <c r="B1207" s="9">
        <v>7</v>
      </c>
      <c r="C1207" s="17" t="s">
        <v>94</v>
      </c>
      <c r="D1207" s="64" t="s">
        <v>101</v>
      </c>
      <c r="E1207" s="9">
        <v>402.77999690000001</v>
      </c>
      <c r="F1207" s="9">
        <v>6</v>
      </c>
      <c r="G1207" s="9">
        <v>67.13</v>
      </c>
      <c r="H1207" s="9">
        <v>3</v>
      </c>
      <c r="I1207" s="9">
        <v>0</v>
      </c>
      <c r="J1207" s="9">
        <v>0</v>
      </c>
      <c r="K1207" s="62" t="s">
        <v>44</v>
      </c>
      <c r="L1207" s="63" t="str">
        <f t="shared" si="36"/>
        <v>Jul-2018</v>
      </c>
      <c r="M1207" s="29">
        <f t="shared" si="37"/>
        <v>43282</v>
      </c>
    </row>
    <row r="1208" spans="1:13" ht="21" x14ac:dyDescent="0.35">
      <c r="A1208" s="8">
        <v>2018</v>
      </c>
      <c r="B1208" s="9">
        <v>7</v>
      </c>
      <c r="C1208" s="17" t="s">
        <v>103</v>
      </c>
      <c r="D1208" s="64" t="s">
        <v>75</v>
      </c>
      <c r="E1208" s="9">
        <v>208.7000027</v>
      </c>
      <c r="F1208" s="9">
        <v>5</v>
      </c>
      <c r="G1208" s="9">
        <v>41.74</v>
      </c>
      <c r="H1208" s="9">
        <v>5</v>
      </c>
      <c r="I1208" s="9">
        <v>0</v>
      </c>
      <c r="J1208" s="9">
        <v>0</v>
      </c>
      <c r="K1208" s="62" t="s">
        <v>44</v>
      </c>
      <c r="L1208" s="63" t="str">
        <f t="shared" si="36"/>
        <v>Jul-2018</v>
      </c>
      <c r="M1208" s="29">
        <f t="shared" si="37"/>
        <v>43282</v>
      </c>
    </row>
    <row r="1209" spans="1:13" ht="21" x14ac:dyDescent="0.35">
      <c r="A1209" s="8">
        <v>2018</v>
      </c>
      <c r="B1209" s="9">
        <v>7</v>
      </c>
      <c r="C1209" s="17" t="s">
        <v>109</v>
      </c>
      <c r="D1209" s="64" t="s">
        <v>59</v>
      </c>
      <c r="E1209" s="9">
        <v>186.78000639999999</v>
      </c>
      <c r="F1209" s="9">
        <v>4</v>
      </c>
      <c r="G1209" s="9">
        <v>46.7</v>
      </c>
      <c r="H1209" s="9">
        <v>4.75</v>
      </c>
      <c r="I1209" s="9">
        <v>0</v>
      </c>
      <c r="J1209" s="9">
        <v>0</v>
      </c>
      <c r="K1209" s="62" t="s">
        <v>44</v>
      </c>
      <c r="L1209" s="63" t="str">
        <f t="shared" si="36"/>
        <v>Jul-2018</v>
      </c>
      <c r="M1209" s="29">
        <f t="shared" si="37"/>
        <v>43282</v>
      </c>
    </row>
    <row r="1210" spans="1:13" ht="21" x14ac:dyDescent="0.35">
      <c r="A1210" s="8">
        <v>2018</v>
      </c>
      <c r="B1210" s="9">
        <v>7</v>
      </c>
      <c r="C1210" s="17" t="s">
        <v>115</v>
      </c>
      <c r="D1210" s="64" t="s">
        <v>127</v>
      </c>
      <c r="E1210" s="9">
        <v>172.03000449999999</v>
      </c>
      <c r="F1210" s="9">
        <v>7</v>
      </c>
      <c r="G1210" s="9">
        <v>24.58</v>
      </c>
      <c r="H1210" s="9">
        <v>2.8571420000000001</v>
      </c>
      <c r="I1210" s="9">
        <v>0</v>
      </c>
      <c r="J1210" s="9">
        <v>0</v>
      </c>
      <c r="K1210" s="62" t="s">
        <v>44</v>
      </c>
      <c r="L1210" s="63" t="str">
        <f t="shared" si="36"/>
        <v>Jul-2018</v>
      </c>
      <c r="M1210" s="29">
        <f t="shared" si="37"/>
        <v>43282</v>
      </c>
    </row>
    <row r="1211" spans="1:13" ht="21" x14ac:dyDescent="0.35">
      <c r="A1211" s="8">
        <v>2018</v>
      </c>
      <c r="B1211" s="9">
        <v>7</v>
      </c>
      <c r="C1211" s="17" t="s">
        <v>118</v>
      </c>
      <c r="D1211" s="64" t="s">
        <v>70</v>
      </c>
      <c r="E1211" s="9">
        <v>149.7999992</v>
      </c>
      <c r="F1211" s="9">
        <v>4</v>
      </c>
      <c r="G1211" s="9">
        <v>37.450000000000003</v>
      </c>
      <c r="H1211" s="9">
        <v>3.25</v>
      </c>
      <c r="I1211" s="9">
        <v>1</v>
      </c>
      <c r="J1211" s="9">
        <v>25</v>
      </c>
      <c r="K1211" s="62" t="s">
        <v>44</v>
      </c>
      <c r="L1211" s="63" t="str">
        <f t="shared" si="36"/>
        <v>Jul-2018</v>
      </c>
      <c r="M1211" s="29">
        <f t="shared" si="37"/>
        <v>43282</v>
      </c>
    </row>
    <row r="1212" spans="1:13" ht="21" x14ac:dyDescent="0.35">
      <c r="A1212" s="8">
        <v>2018</v>
      </c>
      <c r="B1212" s="9">
        <v>7</v>
      </c>
      <c r="C1212" s="17" t="s">
        <v>120</v>
      </c>
      <c r="D1212" s="64" t="s">
        <v>112</v>
      </c>
      <c r="E1212" s="9">
        <v>129.8999939</v>
      </c>
      <c r="F1212" s="9">
        <v>1</v>
      </c>
      <c r="G1212" s="9">
        <v>129.9</v>
      </c>
      <c r="H1212" s="9">
        <v>3</v>
      </c>
      <c r="I1212" s="9">
        <v>0</v>
      </c>
      <c r="J1212" s="9">
        <v>0</v>
      </c>
      <c r="K1212" s="62" t="s">
        <v>44</v>
      </c>
      <c r="L1212" s="63" t="str">
        <f t="shared" si="36"/>
        <v>Jul-2018</v>
      </c>
      <c r="M1212" s="29">
        <f t="shared" si="37"/>
        <v>43282</v>
      </c>
    </row>
    <row r="1213" spans="1:13" ht="21" x14ac:dyDescent="0.35">
      <c r="A1213" s="8">
        <v>2018</v>
      </c>
      <c r="B1213" s="9">
        <v>7</v>
      </c>
      <c r="C1213" s="17" t="s">
        <v>124</v>
      </c>
      <c r="D1213" s="64" t="s">
        <v>87</v>
      </c>
      <c r="E1213" s="9">
        <v>109.8000031</v>
      </c>
      <c r="F1213" s="9">
        <v>2</v>
      </c>
      <c r="G1213" s="9">
        <v>54.9</v>
      </c>
      <c r="H1213" s="9">
        <v>3</v>
      </c>
      <c r="I1213" s="9">
        <v>0</v>
      </c>
      <c r="J1213" s="9">
        <v>0</v>
      </c>
      <c r="K1213" s="62" t="s">
        <v>44</v>
      </c>
      <c r="L1213" s="63" t="str">
        <f t="shared" si="36"/>
        <v>Jul-2018</v>
      </c>
      <c r="M1213" s="29">
        <f t="shared" si="37"/>
        <v>43282</v>
      </c>
    </row>
    <row r="1214" spans="1:13" ht="21" x14ac:dyDescent="0.35">
      <c r="A1214" s="8">
        <v>2018</v>
      </c>
      <c r="B1214" s="9">
        <v>7</v>
      </c>
      <c r="C1214" s="17" t="s">
        <v>42</v>
      </c>
      <c r="D1214" s="64" t="s">
        <v>92</v>
      </c>
      <c r="E1214" s="9">
        <v>83.989997860000003</v>
      </c>
      <c r="F1214" s="9">
        <v>1</v>
      </c>
      <c r="G1214" s="9">
        <v>83.99</v>
      </c>
      <c r="H1214" s="9">
        <v>2</v>
      </c>
      <c r="I1214" s="9">
        <v>0</v>
      </c>
      <c r="J1214" s="9">
        <v>0</v>
      </c>
      <c r="K1214" s="62" t="s">
        <v>44</v>
      </c>
      <c r="L1214" s="63" t="str">
        <f t="shared" si="36"/>
        <v>Jul-2018</v>
      </c>
      <c r="M1214" s="29">
        <f t="shared" si="37"/>
        <v>43282</v>
      </c>
    </row>
    <row r="1215" spans="1:13" ht="21" x14ac:dyDescent="0.35">
      <c r="A1215" s="8">
        <v>2018</v>
      </c>
      <c r="B1215" s="9">
        <v>7</v>
      </c>
      <c r="C1215" s="17" t="s">
        <v>47</v>
      </c>
      <c r="D1215" s="64" t="s">
        <v>123</v>
      </c>
      <c r="E1215" s="9">
        <v>57.5</v>
      </c>
      <c r="F1215" s="9">
        <v>2</v>
      </c>
      <c r="G1215" s="9">
        <v>28.75</v>
      </c>
      <c r="H1215" s="9">
        <v>4.5</v>
      </c>
      <c r="I1215" s="9">
        <v>0</v>
      </c>
      <c r="J1215" s="9">
        <v>0</v>
      </c>
      <c r="K1215" s="62" t="s">
        <v>44</v>
      </c>
      <c r="L1215" s="63" t="str">
        <f t="shared" si="36"/>
        <v>Jul-2018</v>
      </c>
      <c r="M1215" s="29">
        <f t="shared" si="37"/>
        <v>43282</v>
      </c>
    </row>
    <row r="1216" spans="1:13" ht="21" x14ac:dyDescent="0.35">
      <c r="A1216" s="8">
        <v>2018</v>
      </c>
      <c r="B1216" s="9">
        <v>7</v>
      </c>
      <c r="C1216" s="17" t="s">
        <v>125</v>
      </c>
      <c r="D1216" s="64" t="s">
        <v>126</v>
      </c>
      <c r="E1216" s="9">
        <v>47.989999769999997</v>
      </c>
      <c r="F1216" s="9">
        <v>2</v>
      </c>
      <c r="G1216" s="9">
        <v>23.99</v>
      </c>
      <c r="H1216" s="9">
        <v>5</v>
      </c>
      <c r="I1216" s="9">
        <v>0</v>
      </c>
      <c r="J1216" s="9">
        <v>0</v>
      </c>
      <c r="K1216" s="62" t="s">
        <v>44</v>
      </c>
      <c r="L1216" s="63" t="str">
        <f t="shared" si="36"/>
        <v>Jul-2018</v>
      </c>
      <c r="M1216" s="29">
        <f t="shared" si="37"/>
        <v>43282</v>
      </c>
    </row>
    <row r="1217" spans="1:13" ht="21" x14ac:dyDescent="0.35">
      <c r="A1217" s="8">
        <v>2018</v>
      </c>
      <c r="B1217" s="9">
        <v>7</v>
      </c>
      <c r="C1217" s="17" t="s">
        <v>76</v>
      </c>
      <c r="D1217" s="64" t="s">
        <v>90</v>
      </c>
      <c r="E1217" s="9">
        <v>38.699998860000001</v>
      </c>
      <c r="F1217" s="9">
        <v>2</v>
      </c>
      <c r="G1217" s="9">
        <v>19.350000000000001</v>
      </c>
      <c r="H1217" s="9">
        <v>3.5</v>
      </c>
      <c r="I1217" s="9">
        <v>0</v>
      </c>
      <c r="J1217" s="9">
        <v>0</v>
      </c>
      <c r="K1217" s="62" t="s">
        <v>44</v>
      </c>
      <c r="L1217" s="63" t="str">
        <f t="shared" si="36"/>
        <v>Jul-2018</v>
      </c>
      <c r="M1217" s="29">
        <f t="shared" si="37"/>
        <v>43282</v>
      </c>
    </row>
    <row r="1218" spans="1:13" ht="21" x14ac:dyDescent="0.35">
      <c r="A1218" s="8">
        <v>2018</v>
      </c>
      <c r="B1218" s="9">
        <v>8</v>
      </c>
      <c r="C1218" s="17" t="s">
        <v>77</v>
      </c>
      <c r="D1218" s="64" t="s">
        <v>43</v>
      </c>
      <c r="E1218" s="9">
        <v>120803.94040000001</v>
      </c>
      <c r="F1218" s="9">
        <v>778</v>
      </c>
      <c r="G1218" s="9">
        <v>155.27000000000001</v>
      </c>
      <c r="H1218" s="9">
        <v>4.3767740000000002</v>
      </c>
      <c r="I1218" s="9">
        <v>6</v>
      </c>
      <c r="J1218" s="9">
        <v>0.77</v>
      </c>
      <c r="K1218" s="62" t="s">
        <v>44</v>
      </c>
      <c r="L1218" s="63" t="str">
        <f t="shared" ref="L1218:L1281" si="38">TEXT(DATE(A1218,B1218,1),"mmm-yyyy")</f>
        <v>Aug-2018</v>
      </c>
      <c r="M1218" s="29">
        <f t="shared" ref="M1218:M1281" si="39">DATE(A1218,B1218,1)</f>
        <v>43313</v>
      </c>
    </row>
    <row r="1219" spans="1:13" ht="21" x14ac:dyDescent="0.35">
      <c r="A1219" s="8">
        <v>2018</v>
      </c>
      <c r="B1219" s="9">
        <v>8</v>
      </c>
      <c r="C1219" s="17" t="s">
        <v>94</v>
      </c>
      <c r="D1219" s="64" t="s">
        <v>51</v>
      </c>
      <c r="E1219" s="9">
        <v>72277.059899999993</v>
      </c>
      <c r="F1219" s="9">
        <v>392</v>
      </c>
      <c r="G1219" s="9">
        <v>184.38</v>
      </c>
      <c r="H1219" s="9">
        <v>4.1913260000000001</v>
      </c>
      <c r="I1219" s="9">
        <v>0</v>
      </c>
      <c r="J1219" s="9">
        <v>0</v>
      </c>
      <c r="K1219" s="62" t="s">
        <v>44</v>
      </c>
      <c r="L1219" s="63" t="str">
        <f t="shared" si="38"/>
        <v>Aug-2018</v>
      </c>
      <c r="M1219" s="29">
        <f t="shared" si="39"/>
        <v>43313</v>
      </c>
    </row>
    <row r="1220" spans="1:13" ht="21" x14ac:dyDescent="0.35">
      <c r="A1220" s="8">
        <v>2018</v>
      </c>
      <c r="B1220" s="9">
        <v>8</v>
      </c>
      <c r="C1220" s="17" t="s">
        <v>103</v>
      </c>
      <c r="D1220" s="64" t="s">
        <v>66</v>
      </c>
      <c r="E1220" s="9">
        <v>61035.879950000002</v>
      </c>
      <c r="F1220" s="9">
        <v>558</v>
      </c>
      <c r="G1220" s="9">
        <v>109.38</v>
      </c>
      <c r="H1220" s="9">
        <v>4.1245479999999999</v>
      </c>
      <c r="I1220" s="9">
        <v>0</v>
      </c>
      <c r="J1220" s="9">
        <v>0</v>
      </c>
      <c r="K1220" s="62" t="s">
        <v>44</v>
      </c>
      <c r="L1220" s="63" t="str">
        <f t="shared" si="38"/>
        <v>Aug-2018</v>
      </c>
      <c r="M1220" s="29">
        <f t="shared" si="39"/>
        <v>43313</v>
      </c>
    </row>
    <row r="1221" spans="1:13" ht="21" x14ac:dyDescent="0.35">
      <c r="A1221" s="8">
        <v>2018</v>
      </c>
      <c r="B1221" s="9">
        <v>8</v>
      </c>
      <c r="C1221" s="17" t="s">
        <v>109</v>
      </c>
      <c r="D1221" s="64" t="s">
        <v>61</v>
      </c>
      <c r="E1221" s="9">
        <v>60202.670080000004</v>
      </c>
      <c r="F1221" s="9">
        <v>562</v>
      </c>
      <c r="G1221" s="9">
        <v>107.12</v>
      </c>
      <c r="H1221" s="9">
        <v>4.3225800000000003</v>
      </c>
      <c r="I1221" s="9">
        <v>4</v>
      </c>
      <c r="J1221" s="9">
        <v>0.71</v>
      </c>
      <c r="K1221" s="62" t="s">
        <v>44</v>
      </c>
      <c r="L1221" s="63" t="str">
        <f t="shared" si="38"/>
        <v>Aug-2018</v>
      </c>
      <c r="M1221" s="29">
        <f t="shared" si="39"/>
        <v>43313</v>
      </c>
    </row>
    <row r="1222" spans="1:13" ht="21" x14ac:dyDescent="0.35">
      <c r="A1222" s="8">
        <v>2018</v>
      </c>
      <c r="B1222" s="9">
        <v>8</v>
      </c>
      <c r="C1222" s="17" t="s">
        <v>115</v>
      </c>
      <c r="D1222" s="64" t="s">
        <v>52</v>
      </c>
      <c r="E1222" s="9">
        <v>51500.159890000003</v>
      </c>
      <c r="F1222" s="9">
        <v>436</v>
      </c>
      <c r="G1222" s="9">
        <v>118.12</v>
      </c>
      <c r="H1222" s="9">
        <v>4.3839079999999999</v>
      </c>
      <c r="I1222" s="9">
        <v>2</v>
      </c>
      <c r="J1222" s="9">
        <v>0.46</v>
      </c>
      <c r="K1222" s="62" t="s">
        <v>44</v>
      </c>
      <c r="L1222" s="63" t="str">
        <f t="shared" si="38"/>
        <v>Aug-2018</v>
      </c>
      <c r="M1222" s="29">
        <f t="shared" si="39"/>
        <v>43313</v>
      </c>
    </row>
    <row r="1223" spans="1:13" ht="21" x14ac:dyDescent="0.35">
      <c r="A1223" s="8">
        <v>2018</v>
      </c>
      <c r="B1223" s="9">
        <v>8</v>
      </c>
      <c r="C1223" s="17" t="s">
        <v>118</v>
      </c>
      <c r="D1223" s="64" t="s">
        <v>53</v>
      </c>
      <c r="E1223" s="9">
        <v>45380.889969999997</v>
      </c>
      <c r="F1223" s="9">
        <v>352</v>
      </c>
      <c r="G1223" s="9">
        <v>128.91999999999999</v>
      </c>
      <c r="H1223" s="9">
        <v>4.2336179999999999</v>
      </c>
      <c r="I1223" s="9">
        <v>3</v>
      </c>
      <c r="J1223" s="9">
        <v>0.85</v>
      </c>
      <c r="K1223" s="62" t="s">
        <v>44</v>
      </c>
      <c r="L1223" s="63" t="str">
        <f t="shared" si="38"/>
        <v>Aug-2018</v>
      </c>
      <c r="M1223" s="29">
        <f t="shared" si="39"/>
        <v>43313</v>
      </c>
    </row>
    <row r="1224" spans="1:13" ht="21" x14ac:dyDescent="0.35">
      <c r="A1224" s="8">
        <v>2018</v>
      </c>
      <c r="B1224" s="9">
        <v>8</v>
      </c>
      <c r="C1224" s="17" t="s">
        <v>120</v>
      </c>
      <c r="D1224" s="64" t="s">
        <v>45</v>
      </c>
      <c r="E1224" s="9">
        <v>41380.150070000003</v>
      </c>
      <c r="F1224" s="9">
        <v>344</v>
      </c>
      <c r="G1224" s="9">
        <v>120.29</v>
      </c>
      <c r="H1224" s="9">
        <v>4.2623899999999999</v>
      </c>
      <c r="I1224" s="9">
        <v>1</v>
      </c>
      <c r="J1224" s="9">
        <v>0.28999999999999998</v>
      </c>
      <c r="K1224" s="62" t="s">
        <v>44</v>
      </c>
      <c r="L1224" s="63" t="str">
        <f t="shared" si="38"/>
        <v>Aug-2018</v>
      </c>
      <c r="M1224" s="29">
        <f t="shared" si="39"/>
        <v>43313</v>
      </c>
    </row>
    <row r="1225" spans="1:13" ht="21" x14ac:dyDescent="0.35">
      <c r="A1225" s="8">
        <v>2018</v>
      </c>
      <c r="B1225" s="9">
        <v>8</v>
      </c>
      <c r="C1225" s="17" t="s">
        <v>124</v>
      </c>
      <c r="D1225" s="64" t="s">
        <v>56</v>
      </c>
      <c r="E1225" s="9">
        <v>40293.92974</v>
      </c>
      <c r="F1225" s="9">
        <v>384</v>
      </c>
      <c r="G1225" s="9">
        <v>104.93</v>
      </c>
      <c r="H1225" s="9">
        <v>4.3159260000000002</v>
      </c>
      <c r="I1225" s="9">
        <v>1</v>
      </c>
      <c r="J1225" s="9">
        <v>0.26</v>
      </c>
      <c r="K1225" s="62" t="s">
        <v>44</v>
      </c>
      <c r="L1225" s="63" t="str">
        <f t="shared" si="38"/>
        <v>Aug-2018</v>
      </c>
      <c r="M1225" s="29">
        <f t="shared" si="39"/>
        <v>43313</v>
      </c>
    </row>
    <row r="1226" spans="1:13" ht="21" x14ac:dyDescent="0.35">
      <c r="A1226" s="8">
        <v>2018</v>
      </c>
      <c r="B1226" s="9">
        <v>8</v>
      </c>
      <c r="C1226" s="17" t="s">
        <v>42</v>
      </c>
      <c r="D1226" s="64" t="s">
        <v>46</v>
      </c>
      <c r="E1226" s="9">
        <v>37541.889929999998</v>
      </c>
      <c r="F1226" s="9">
        <v>246</v>
      </c>
      <c r="G1226" s="9">
        <v>152.61000000000001</v>
      </c>
      <c r="H1226" s="9">
        <v>4.0737699999999997</v>
      </c>
      <c r="I1226" s="9">
        <v>0</v>
      </c>
      <c r="J1226" s="9">
        <v>0</v>
      </c>
      <c r="K1226" s="62" t="s">
        <v>44</v>
      </c>
      <c r="L1226" s="63" t="str">
        <f t="shared" si="38"/>
        <v>Aug-2018</v>
      </c>
      <c r="M1226" s="29">
        <f t="shared" si="39"/>
        <v>43313</v>
      </c>
    </row>
    <row r="1227" spans="1:13" ht="21" x14ac:dyDescent="0.35">
      <c r="A1227" s="8">
        <v>2018</v>
      </c>
      <c r="B1227" s="9">
        <v>8</v>
      </c>
      <c r="C1227" s="17" t="s">
        <v>47</v>
      </c>
      <c r="D1227" s="64" t="s">
        <v>48</v>
      </c>
      <c r="E1227" s="9">
        <v>25017.68995</v>
      </c>
      <c r="F1227" s="9">
        <v>207</v>
      </c>
      <c r="G1227" s="9">
        <v>120.86</v>
      </c>
      <c r="H1227" s="9">
        <v>4.3463409999999998</v>
      </c>
      <c r="I1227" s="9">
        <v>0</v>
      </c>
      <c r="J1227" s="9">
        <v>0</v>
      </c>
      <c r="K1227" s="62" t="s">
        <v>44</v>
      </c>
      <c r="L1227" s="63" t="str">
        <f t="shared" si="38"/>
        <v>Aug-2018</v>
      </c>
      <c r="M1227" s="29">
        <f t="shared" si="39"/>
        <v>43313</v>
      </c>
    </row>
    <row r="1228" spans="1:13" ht="21" x14ac:dyDescent="0.35">
      <c r="A1228" s="8">
        <v>2018</v>
      </c>
      <c r="B1228" s="9">
        <v>8</v>
      </c>
      <c r="C1228" s="17" t="s">
        <v>125</v>
      </c>
      <c r="D1228" s="64" t="s">
        <v>64</v>
      </c>
      <c r="E1228" s="9">
        <v>24857.06998</v>
      </c>
      <c r="F1228" s="9">
        <v>167</v>
      </c>
      <c r="G1228" s="9">
        <v>148.84</v>
      </c>
      <c r="H1228" s="9">
        <v>4.3712569999999999</v>
      </c>
      <c r="I1228" s="9">
        <v>1</v>
      </c>
      <c r="J1228" s="9">
        <v>0.6</v>
      </c>
      <c r="K1228" s="62" t="s">
        <v>44</v>
      </c>
      <c r="L1228" s="63" t="str">
        <f t="shared" si="38"/>
        <v>Aug-2018</v>
      </c>
      <c r="M1228" s="29">
        <f t="shared" si="39"/>
        <v>43313</v>
      </c>
    </row>
    <row r="1229" spans="1:13" ht="21" x14ac:dyDescent="0.35">
      <c r="A1229" s="8">
        <v>2018</v>
      </c>
      <c r="B1229" s="9">
        <v>8</v>
      </c>
      <c r="C1229" s="17" t="s">
        <v>76</v>
      </c>
      <c r="D1229" s="64" t="s">
        <v>85</v>
      </c>
      <c r="E1229" s="9">
        <v>22917.16001</v>
      </c>
      <c r="F1229" s="9">
        <v>124</v>
      </c>
      <c r="G1229" s="9">
        <v>184.82</v>
      </c>
      <c r="H1229" s="9">
        <v>4.2177410000000002</v>
      </c>
      <c r="I1229" s="9">
        <v>0</v>
      </c>
      <c r="J1229" s="9">
        <v>0</v>
      </c>
      <c r="K1229" s="62" t="s">
        <v>44</v>
      </c>
      <c r="L1229" s="63" t="str">
        <f t="shared" si="38"/>
        <v>Aug-2018</v>
      </c>
      <c r="M1229" s="29">
        <f t="shared" si="39"/>
        <v>43313</v>
      </c>
    </row>
    <row r="1230" spans="1:13" ht="21" x14ac:dyDescent="0.35">
      <c r="A1230" s="8">
        <v>2018</v>
      </c>
      <c r="B1230" s="9">
        <v>8</v>
      </c>
      <c r="C1230" s="17" t="s">
        <v>77</v>
      </c>
      <c r="D1230" s="64" t="s">
        <v>55</v>
      </c>
      <c r="E1230" s="9">
        <v>22004.149969999999</v>
      </c>
      <c r="F1230" s="9">
        <v>206</v>
      </c>
      <c r="G1230" s="9">
        <v>106.82</v>
      </c>
      <c r="H1230" s="9">
        <v>4.1650479999999996</v>
      </c>
      <c r="I1230" s="9">
        <v>1</v>
      </c>
      <c r="J1230" s="9">
        <v>0.49</v>
      </c>
      <c r="K1230" s="62" t="s">
        <v>44</v>
      </c>
      <c r="L1230" s="63" t="str">
        <f t="shared" si="38"/>
        <v>Aug-2018</v>
      </c>
      <c r="M1230" s="29">
        <f t="shared" si="39"/>
        <v>43313</v>
      </c>
    </row>
    <row r="1231" spans="1:13" ht="21" x14ac:dyDescent="0.35">
      <c r="A1231" s="8">
        <v>2018</v>
      </c>
      <c r="B1231" s="9">
        <v>8</v>
      </c>
      <c r="C1231" s="17" t="s">
        <v>94</v>
      </c>
      <c r="D1231" s="64" t="s">
        <v>49</v>
      </c>
      <c r="E1231" s="9">
        <v>17753.050039999998</v>
      </c>
      <c r="F1231" s="9">
        <v>155</v>
      </c>
      <c r="G1231" s="9">
        <v>114.54</v>
      </c>
      <c r="H1231" s="9">
        <v>4.1513150000000003</v>
      </c>
      <c r="I1231" s="9">
        <v>4</v>
      </c>
      <c r="J1231" s="9">
        <v>2.58</v>
      </c>
      <c r="K1231" s="62" t="s">
        <v>44</v>
      </c>
      <c r="L1231" s="63" t="str">
        <f t="shared" si="38"/>
        <v>Aug-2018</v>
      </c>
      <c r="M1231" s="29">
        <f t="shared" si="39"/>
        <v>43313</v>
      </c>
    </row>
    <row r="1232" spans="1:13" ht="21" x14ac:dyDescent="0.35">
      <c r="A1232" s="8">
        <v>2018</v>
      </c>
      <c r="B1232" s="9">
        <v>8</v>
      </c>
      <c r="C1232" s="17" t="s">
        <v>103</v>
      </c>
      <c r="D1232" s="64" t="s">
        <v>57</v>
      </c>
      <c r="E1232" s="9">
        <v>16432.340029999999</v>
      </c>
      <c r="F1232" s="9">
        <v>122</v>
      </c>
      <c r="G1232" s="9">
        <v>134.69</v>
      </c>
      <c r="H1232" s="9">
        <v>4.2459009999999999</v>
      </c>
      <c r="I1232" s="9">
        <v>1</v>
      </c>
      <c r="J1232" s="9">
        <v>0.82</v>
      </c>
      <c r="K1232" s="62" t="s">
        <v>44</v>
      </c>
      <c r="L1232" s="63" t="str">
        <f t="shared" si="38"/>
        <v>Aug-2018</v>
      </c>
      <c r="M1232" s="29">
        <f t="shared" si="39"/>
        <v>43313</v>
      </c>
    </row>
    <row r="1233" spans="1:13" ht="21" x14ac:dyDescent="0.35">
      <c r="A1233" s="8">
        <v>2018</v>
      </c>
      <c r="B1233" s="9">
        <v>8</v>
      </c>
      <c r="C1233" s="17" t="s">
        <v>109</v>
      </c>
      <c r="D1233" s="64" t="s">
        <v>62</v>
      </c>
      <c r="E1233" s="9">
        <v>16354.57994</v>
      </c>
      <c r="F1233" s="9">
        <v>120</v>
      </c>
      <c r="G1233" s="9">
        <v>136.29</v>
      </c>
      <c r="H1233" s="9">
        <v>4.0083330000000004</v>
      </c>
      <c r="I1233" s="9">
        <v>0</v>
      </c>
      <c r="J1233" s="9">
        <v>0</v>
      </c>
      <c r="K1233" s="62" t="s">
        <v>44</v>
      </c>
      <c r="L1233" s="63" t="str">
        <f t="shared" si="38"/>
        <v>Aug-2018</v>
      </c>
      <c r="M1233" s="29">
        <f t="shared" si="39"/>
        <v>43313</v>
      </c>
    </row>
    <row r="1234" spans="1:13" ht="21" x14ac:dyDescent="0.35">
      <c r="A1234" s="8">
        <v>2018</v>
      </c>
      <c r="B1234" s="9">
        <v>8</v>
      </c>
      <c r="C1234" s="17" t="s">
        <v>115</v>
      </c>
      <c r="D1234" s="64" t="s">
        <v>81</v>
      </c>
      <c r="E1234" s="9">
        <v>15563.6499</v>
      </c>
      <c r="F1234" s="9">
        <v>159</v>
      </c>
      <c r="G1234" s="9">
        <v>97.88</v>
      </c>
      <c r="H1234" s="9">
        <v>4.5759489999999996</v>
      </c>
      <c r="I1234" s="9">
        <v>0</v>
      </c>
      <c r="J1234" s="9">
        <v>0</v>
      </c>
      <c r="K1234" s="62" t="s">
        <v>44</v>
      </c>
      <c r="L1234" s="63" t="str">
        <f t="shared" si="38"/>
        <v>Aug-2018</v>
      </c>
      <c r="M1234" s="29">
        <f t="shared" si="39"/>
        <v>43313</v>
      </c>
    </row>
    <row r="1235" spans="1:13" ht="21" x14ac:dyDescent="0.35">
      <c r="A1235" s="8">
        <v>2018</v>
      </c>
      <c r="B1235" s="9">
        <v>8</v>
      </c>
      <c r="C1235" s="17" t="s">
        <v>118</v>
      </c>
      <c r="D1235" s="64" t="s">
        <v>58</v>
      </c>
      <c r="E1235" s="9">
        <v>10769.46999</v>
      </c>
      <c r="F1235" s="9">
        <v>115</v>
      </c>
      <c r="G1235" s="9">
        <v>93.65</v>
      </c>
      <c r="H1235" s="9">
        <v>4.1391299999999998</v>
      </c>
      <c r="I1235" s="9">
        <v>0</v>
      </c>
      <c r="J1235" s="9">
        <v>0</v>
      </c>
      <c r="K1235" s="62" t="s">
        <v>44</v>
      </c>
      <c r="L1235" s="63" t="str">
        <f t="shared" si="38"/>
        <v>Aug-2018</v>
      </c>
      <c r="M1235" s="29">
        <f t="shared" si="39"/>
        <v>43313</v>
      </c>
    </row>
    <row r="1236" spans="1:13" ht="21" x14ac:dyDescent="0.35">
      <c r="A1236" s="8">
        <v>2018</v>
      </c>
      <c r="B1236" s="9">
        <v>8</v>
      </c>
      <c r="C1236" s="17" t="s">
        <v>120</v>
      </c>
      <c r="D1236" s="64" t="s">
        <v>84</v>
      </c>
      <c r="E1236" s="9">
        <v>10519.34014</v>
      </c>
      <c r="F1236" s="9">
        <v>39</v>
      </c>
      <c r="G1236" s="9">
        <v>269.73</v>
      </c>
      <c r="H1236" s="9">
        <v>4.4358969999999998</v>
      </c>
      <c r="I1236" s="9">
        <v>0</v>
      </c>
      <c r="J1236" s="9">
        <v>0</v>
      </c>
      <c r="K1236" s="62" t="s">
        <v>44</v>
      </c>
      <c r="L1236" s="63" t="str">
        <f t="shared" si="38"/>
        <v>Aug-2018</v>
      </c>
      <c r="M1236" s="29">
        <f t="shared" si="39"/>
        <v>43313</v>
      </c>
    </row>
    <row r="1237" spans="1:13" ht="21" x14ac:dyDescent="0.35">
      <c r="A1237" s="8">
        <v>2018</v>
      </c>
      <c r="B1237" s="9">
        <v>8</v>
      </c>
      <c r="C1237" s="17" t="s">
        <v>124</v>
      </c>
      <c r="D1237" s="64" t="s">
        <v>79</v>
      </c>
      <c r="E1237" s="9">
        <v>9882.7599489999993</v>
      </c>
      <c r="F1237" s="9">
        <v>15</v>
      </c>
      <c r="G1237" s="9">
        <v>658.85</v>
      </c>
      <c r="H1237" s="9">
        <v>3.733333</v>
      </c>
      <c r="I1237" s="9">
        <v>1</v>
      </c>
      <c r="J1237" s="9">
        <v>6.67</v>
      </c>
      <c r="K1237" s="62" t="s">
        <v>44</v>
      </c>
      <c r="L1237" s="63" t="str">
        <f t="shared" si="38"/>
        <v>Aug-2018</v>
      </c>
      <c r="M1237" s="29">
        <f t="shared" si="39"/>
        <v>43313</v>
      </c>
    </row>
    <row r="1238" spans="1:13" ht="21" x14ac:dyDescent="0.35">
      <c r="A1238" s="8">
        <v>2018</v>
      </c>
      <c r="B1238" s="9">
        <v>8</v>
      </c>
      <c r="C1238" s="17" t="s">
        <v>42</v>
      </c>
      <c r="D1238" s="64" t="s">
        <v>78</v>
      </c>
      <c r="E1238" s="9">
        <v>8711.5</v>
      </c>
      <c r="F1238" s="9">
        <v>10</v>
      </c>
      <c r="G1238" s="9">
        <v>871.15</v>
      </c>
      <c r="H1238" s="9">
        <v>3.7</v>
      </c>
      <c r="I1238" s="9">
        <v>0</v>
      </c>
      <c r="J1238" s="9">
        <v>0</v>
      </c>
      <c r="K1238" s="62" t="s">
        <v>44</v>
      </c>
      <c r="L1238" s="63" t="str">
        <f t="shared" si="38"/>
        <v>Aug-2018</v>
      </c>
      <c r="M1238" s="29">
        <f t="shared" si="39"/>
        <v>43313</v>
      </c>
    </row>
    <row r="1239" spans="1:13" ht="21" x14ac:dyDescent="0.35">
      <c r="A1239" s="8">
        <v>2018</v>
      </c>
      <c r="B1239" s="9">
        <v>8</v>
      </c>
      <c r="C1239" s="17" t="s">
        <v>47</v>
      </c>
      <c r="D1239" s="64" t="s">
        <v>72</v>
      </c>
      <c r="E1239" s="9">
        <v>8256.1800120000007</v>
      </c>
      <c r="F1239" s="9">
        <v>103</v>
      </c>
      <c r="G1239" s="9">
        <v>80.16</v>
      </c>
      <c r="H1239" s="9">
        <v>4.5436889999999996</v>
      </c>
      <c r="I1239" s="9">
        <v>0</v>
      </c>
      <c r="J1239" s="9">
        <v>0</v>
      </c>
      <c r="K1239" s="62" t="s">
        <v>44</v>
      </c>
      <c r="L1239" s="63" t="str">
        <f t="shared" si="38"/>
        <v>Aug-2018</v>
      </c>
      <c r="M1239" s="29">
        <f t="shared" si="39"/>
        <v>43313</v>
      </c>
    </row>
    <row r="1240" spans="1:13" ht="21" x14ac:dyDescent="0.35">
      <c r="A1240" s="8">
        <v>2018</v>
      </c>
      <c r="B1240" s="9">
        <v>8</v>
      </c>
      <c r="C1240" s="17" t="s">
        <v>125</v>
      </c>
      <c r="D1240" s="64" t="s">
        <v>121</v>
      </c>
      <c r="E1240" s="9">
        <v>8212.5300200000001</v>
      </c>
      <c r="F1240" s="9">
        <v>56</v>
      </c>
      <c r="G1240" s="9">
        <v>146.65</v>
      </c>
      <c r="H1240" s="9">
        <v>3.9642849999999998</v>
      </c>
      <c r="I1240" s="9">
        <v>0</v>
      </c>
      <c r="J1240" s="9">
        <v>0</v>
      </c>
      <c r="K1240" s="62" t="s">
        <v>44</v>
      </c>
      <c r="L1240" s="63" t="str">
        <f t="shared" si="38"/>
        <v>Aug-2018</v>
      </c>
      <c r="M1240" s="29">
        <f t="shared" si="39"/>
        <v>43313</v>
      </c>
    </row>
    <row r="1241" spans="1:13" ht="21" x14ac:dyDescent="0.35">
      <c r="A1241" s="8">
        <v>2018</v>
      </c>
      <c r="B1241" s="9">
        <v>8</v>
      </c>
      <c r="C1241" s="17" t="s">
        <v>76</v>
      </c>
      <c r="D1241" s="64" t="s">
        <v>65</v>
      </c>
      <c r="E1241" s="9">
        <v>8177.4300370000001</v>
      </c>
      <c r="F1241" s="9">
        <v>122</v>
      </c>
      <c r="G1241" s="9">
        <v>67.03</v>
      </c>
      <c r="H1241" s="9">
        <v>4.2459009999999999</v>
      </c>
      <c r="I1241" s="9">
        <v>0</v>
      </c>
      <c r="J1241" s="9">
        <v>0</v>
      </c>
      <c r="K1241" s="62" t="s">
        <v>44</v>
      </c>
      <c r="L1241" s="63" t="str">
        <f t="shared" si="38"/>
        <v>Aug-2018</v>
      </c>
      <c r="M1241" s="29">
        <f t="shared" si="39"/>
        <v>43313</v>
      </c>
    </row>
    <row r="1242" spans="1:13" ht="21" x14ac:dyDescent="0.35">
      <c r="A1242" s="8">
        <v>2018</v>
      </c>
      <c r="B1242" s="9">
        <v>8</v>
      </c>
      <c r="C1242" s="17" t="s">
        <v>77</v>
      </c>
      <c r="D1242" s="64" t="s">
        <v>97</v>
      </c>
      <c r="E1242" s="9">
        <v>7016.1599919999999</v>
      </c>
      <c r="F1242" s="9">
        <v>45</v>
      </c>
      <c r="G1242" s="9">
        <v>155.91</v>
      </c>
      <c r="H1242" s="9">
        <v>3.8444440000000002</v>
      </c>
      <c r="I1242" s="9">
        <v>0</v>
      </c>
      <c r="J1242" s="9">
        <v>0</v>
      </c>
      <c r="K1242" s="62" t="s">
        <v>44</v>
      </c>
      <c r="L1242" s="63" t="str">
        <f t="shared" si="38"/>
        <v>Aug-2018</v>
      </c>
      <c r="M1242" s="29">
        <f t="shared" si="39"/>
        <v>43313</v>
      </c>
    </row>
    <row r="1243" spans="1:13" ht="21" x14ac:dyDescent="0.35">
      <c r="A1243" s="8">
        <v>2018</v>
      </c>
      <c r="B1243" s="9">
        <v>8</v>
      </c>
      <c r="C1243" s="17" t="s">
        <v>94</v>
      </c>
      <c r="D1243" s="64" t="s">
        <v>83</v>
      </c>
      <c r="E1243" s="9">
        <v>6847.9099120000001</v>
      </c>
      <c r="F1243" s="9">
        <v>64</v>
      </c>
      <c r="G1243" s="9">
        <v>107</v>
      </c>
      <c r="H1243" s="9">
        <v>4.3125</v>
      </c>
      <c r="I1243" s="9">
        <v>1</v>
      </c>
      <c r="J1243" s="9">
        <v>1.56</v>
      </c>
      <c r="K1243" s="62" t="s">
        <v>44</v>
      </c>
      <c r="L1243" s="63" t="str">
        <f t="shared" si="38"/>
        <v>Aug-2018</v>
      </c>
      <c r="M1243" s="29">
        <f t="shared" si="39"/>
        <v>43313</v>
      </c>
    </row>
    <row r="1244" spans="1:13" ht="21" x14ac:dyDescent="0.35">
      <c r="A1244" s="8">
        <v>2018</v>
      </c>
      <c r="B1244" s="9">
        <v>8</v>
      </c>
      <c r="C1244" s="17" t="s">
        <v>103</v>
      </c>
      <c r="D1244" s="64" t="s">
        <v>80</v>
      </c>
      <c r="E1244" s="9">
        <v>6759.0599769999999</v>
      </c>
      <c r="F1244" s="9">
        <v>25</v>
      </c>
      <c r="G1244" s="9">
        <v>270.36</v>
      </c>
      <c r="H1244" s="9">
        <v>4</v>
      </c>
      <c r="I1244" s="9">
        <v>1</v>
      </c>
      <c r="J1244" s="9">
        <v>4</v>
      </c>
      <c r="K1244" s="62" t="s">
        <v>44</v>
      </c>
      <c r="L1244" s="63" t="str">
        <f t="shared" si="38"/>
        <v>Aug-2018</v>
      </c>
      <c r="M1244" s="29">
        <f t="shared" si="39"/>
        <v>43313</v>
      </c>
    </row>
    <row r="1245" spans="1:13" ht="21" x14ac:dyDescent="0.35">
      <c r="A1245" s="8">
        <v>2018</v>
      </c>
      <c r="B1245" s="9">
        <v>8</v>
      </c>
      <c r="C1245" s="17" t="s">
        <v>109</v>
      </c>
      <c r="D1245" s="64" t="s">
        <v>60</v>
      </c>
      <c r="E1245" s="9">
        <v>6758.8699489999999</v>
      </c>
      <c r="F1245" s="9">
        <v>24</v>
      </c>
      <c r="G1245" s="9">
        <v>281.62</v>
      </c>
      <c r="H1245" s="9">
        <v>4.25</v>
      </c>
      <c r="I1245" s="9">
        <v>0</v>
      </c>
      <c r="J1245" s="9">
        <v>0</v>
      </c>
      <c r="K1245" s="62" t="s">
        <v>44</v>
      </c>
      <c r="L1245" s="63" t="str">
        <f t="shared" si="38"/>
        <v>Aug-2018</v>
      </c>
      <c r="M1245" s="29">
        <f t="shared" si="39"/>
        <v>43313</v>
      </c>
    </row>
    <row r="1246" spans="1:13" ht="21" x14ac:dyDescent="0.35">
      <c r="A1246" s="8">
        <v>2018</v>
      </c>
      <c r="B1246" s="9">
        <v>8</v>
      </c>
      <c r="C1246" s="17" t="s">
        <v>115</v>
      </c>
      <c r="D1246" s="64" t="s">
        <v>96</v>
      </c>
      <c r="E1246" s="9">
        <v>6584.4000130000004</v>
      </c>
      <c r="F1246" s="9">
        <v>64</v>
      </c>
      <c r="G1246" s="9">
        <v>102.88</v>
      </c>
      <c r="H1246" s="9">
        <v>4.2109370000000004</v>
      </c>
      <c r="I1246" s="9">
        <v>1</v>
      </c>
      <c r="J1246" s="9">
        <v>1.56</v>
      </c>
      <c r="K1246" s="62" t="s">
        <v>44</v>
      </c>
      <c r="L1246" s="63" t="str">
        <f t="shared" si="38"/>
        <v>Aug-2018</v>
      </c>
      <c r="M1246" s="29">
        <f t="shared" si="39"/>
        <v>43313</v>
      </c>
    </row>
    <row r="1247" spans="1:13" ht="21" x14ac:dyDescent="0.35">
      <c r="A1247" s="8">
        <v>2018</v>
      </c>
      <c r="B1247" s="9">
        <v>8</v>
      </c>
      <c r="C1247" s="17" t="s">
        <v>118</v>
      </c>
      <c r="D1247" s="64" t="s">
        <v>82</v>
      </c>
      <c r="E1247" s="9">
        <v>5223.3399429999999</v>
      </c>
      <c r="F1247" s="9">
        <v>38</v>
      </c>
      <c r="G1247" s="9">
        <v>137.46</v>
      </c>
      <c r="H1247" s="9">
        <v>3.8157890000000001</v>
      </c>
      <c r="I1247" s="9">
        <v>0</v>
      </c>
      <c r="J1247" s="9">
        <v>0</v>
      </c>
      <c r="K1247" s="62" t="s">
        <v>44</v>
      </c>
      <c r="L1247" s="63" t="str">
        <f t="shared" si="38"/>
        <v>Aug-2018</v>
      </c>
      <c r="M1247" s="29">
        <f t="shared" si="39"/>
        <v>43313</v>
      </c>
    </row>
    <row r="1248" spans="1:13" ht="21" x14ac:dyDescent="0.35">
      <c r="A1248" s="8">
        <v>2018</v>
      </c>
      <c r="B1248" s="9">
        <v>8</v>
      </c>
      <c r="C1248" s="17" t="s">
        <v>120</v>
      </c>
      <c r="D1248" s="64" t="s">
        <v>91</v>
      </c>
      <c r="E1248" s="9">
        <v>5021.0899730000001</v>
      </c>
      <c r="F1248" s="9">
        <v>14</v>
      </c>
      <c r="G1248" s="9">
        <v>358.65</v>
      </c>
      <c r="H1248" s="9">
        <v>3.8571420000000001</v>
      </c>
      <c r="I1248" s="9">
        <v>0</v>
      </c>
      <c r="J1248" s="9">
        <v>0</v>
      </c>
      <c r="K1248" s="62" t="s">
        <v>44</v>
      </c>
      <c r="L1248" s="63" t="str">
        <f t="shared" si="38"/>
        <v>Aug-2018</v>
      </c>
      <c r="M1248" s="29">
        <f t="shared" si="39"/>
        <v>43313</v>
      </c>
    </row>
    <row r="1249" spans="1:13" ht="21" x14ac:dyDescent="0.35">
      <c r="A1249" s="8">
        <v>2018</v>
      </c>
      <c r="B1249" s="9">
        <v>8</v>
      </c>
      <c r="C1249" s="17" t="s">
        <v>124</v>
      </c>
      <c r="D1249" s="64" t="s">
        <v>50</v>
      </c>
      <c r="E1249" s="9">
        <v>4824.4899640000003</v>
      </c>
      <c r="F1249" s="9">
        <v>56</v>
      </c>
      <c r="G1249" s="9">
        <v>86.15</v>
      </c>
      <c r="H1249" s="9">
        <v>3.9285709999999998</v>
      </c>
      <c r="I1249" s="9">
        <v>1</v>
      </c>
      <c r="J1249" s="9">
        <v>1.79</v>
      </c>
      <c r="K1249" s="62" t="s">
        <v>44</v>
      </c>
      <c r="L1249" s="63" t="str">
        <f t="shared" si="38"/>
        <v>Aug-2018</v>
      </c>
      <c r="M1249" s="29">
        <f t="shared" si="39"/>
        <v>43313</v>
      </c>
    </row>
    <row r="1250" spans="1:13" ht="21" x14ac:dyDescent="0.35">
      <c r="A1250" s="8">
        <v>2018</v>
      </c>
      <c r="B1250" s="9">
        <v>8</v>
      </c>
      <c r="C1250" s="17" t="s">
        <v>42</v>
      </c>
      <c r="D1250" s="64" t="s">
        <v>100</v>
      </c>
      <c r="E1250" s="9">
        <v>4070.1199929999998</v>
      </c>
      <c r="F1250" s="9">
        <v>22</v>
      </c>
      <c r="G1250" s="9">
        <v>185.01</v>
      </c>
      <c r="H1250" s="9">
        <v>3.818181</v>
      </c>
      <c r="I1250" s="9">
        <v>1</v>
      </c>
      <c r="J1250" s="9">
        <v>4.55</v>
      </c>
      <c r="K1250" s="62" t="s">
        <v>44</v>
      </c>
      <c r="L1250" s="63" t="str">
        <f t="shared" si="38"/>
        <v>Aug-2018</v>
      </c>
      <c r="M1250" s="29">
        <f t="shared" si="39"/>
        <v>43313</v>
      </c>
    </row>
    <row r="1251" spans="1:13" ht="21" x14ac:dyDescent="0.35">
      <c r="A1251" s="8">
        <v>2018</v>
      </c>
      <c r="B1251" s="9">
        <v>8</v>
      </c>
      <c r="C1251" s="17" t="s">
        <v>47</v>
      </c>
      <c r="D1251" s="64" t="s">
        <v>98</v>
      </c>
      <c r="E1251" s="9">
        <v>3688.759998</v>
      </c>
      <c r="F1251" s="9">
        <v>19</v>
      </c>
      <c r="G1251" s="9">
        <v>194.15</v>
      </c>
      <c r="H1251" s="9">
        <v>3.7894730000000001</v>
      </c>
      <c r="I1251" s="9">
        <v>0</v>
      </c>
      <c r="J1251" s="9">
        <v>0</v>
      </c>
      <c r="K1251" s="62" t="s">
        <v>44</v>
      </c>
      <c r="L1251" s="63" t="str">
        <f t="shared" si="38"/>
        <v>Aug-2018</v>
      </c>
      <c r="M1251" s="29">
        <f t="shared" si="39"/>
        <v>43313</v>
      </c>
    </row>
    <row r="1252" spans="1:13" ht="21" x14ac:dyDescent="0.35">
      <c r="A1252" s="8">
        <v>2018</v>
      </c>
      <c r="B1252" s="9">
        <v>8</v>
      </c>
      <c r="C1252" s="17" t="s">
        <v>125</v>
      </c>
      <c r="D1252" s="64" t="s">
        <v>54</v>
      </c>
      <c r="E1252" s="9">
        <v>3556.9000169999999</v>
      </c>
      <c r="F1252" s="9">
        <v>17</v>
      </c>
      <c r="G1252" s="9">
        <v>209.23</v>
      </c>
      <c r="H1252" s="9">
        <v>4</v>
      </c>
      <c r="I1252" s="9">
        <v>0</v>
      </c>
      <c r="J1252" s="9">
        <v>0</v>
      </c>
      <c r="K1252" s="62" t="s">
        <v>44</v>
      </c>
      <c r="L1252" s="63" t="str">
        <f t="shared" si="38"/>
        <v>Aug-2018</v>
      </c>
      <c r="M1252" s="29">
        <f t="shared" si="39"/>
        <v>43313</v>
      </c>
    </row>
    <row r="1253" spans="1:13" ht="21" x14ac:dyDescent="0.35">
      <c r="A1253" s="8">
        <v>2018</v>
      </c>
      <c r="B1253" s="9">
        <v>8</v>
      </c>
      <c r="C1253" s="17" t="s">
        <v>76</v>
      </c>
      <c r="D1253" s="64" t="s">
        <v>119</v>
      </c>
      <c r="E1253" s="9">
        <v>2996.7199989999999</v>
      </c>
      <c r="F1253" s="9">
        <v>17</v>
      </c>
      <c r="G1253" s="9">
        <v>176.28</v>
      </c>
      <c r="H1253" s="9">
        <v>4.294117</v>
      </c>
      <c r="I1253" s="9">
        <v>0</v>
      </c>
      <c r="J1253" s="9">
        <v>0</v>
      </c>
      <c r="K1253" s="62" t="s">
        <v>44</v>
      </c>
      <c r="L1253" s="63" t="str">
        <f t="shared" si="38"/>
        <v>Aug-2018</v>
      </c>
      <c r="M1253" s="29">
        <f t="shared" si="39"/>
        <v>43313</v>
      </c>
    </row>
    <row r="1254" spans="1:13" ht="21" x14ac:dyDescent="0.35">
      <c r="A1254" s="8">
        <v>2018</v>
      </c>
      <c r="B1254" s="9">
        <v>8</v>
      </c>
      <c r="C1254" s="17" t="s">
        <v>77</v>
      </c>
      <c r="D1254" s="64" t="s">
        <v>63</v>
      </c>
      <c r="E1254" s="9">
        <v>2724.1699699999999</v>
      </c>
      <c r="F1254" s="9">
        <v>10</v>
      </c>
      <c r="G1254" s="9">
        <v>272.42</v>
      </c>
      <c r="H1254" s="9">
        <v>4.2</v>
      </c>
      <c r="I1254" s="9">
        <v>0</v>
      </c>
      <c r="J1254" s="9">
        <v>0</v>
      </c>
      <c r="K1254" s="62" t="s">
        <v>44</v>
      </c>
      <c r="L1254" s="63" t="str">
        <f t="shared" si="38"/>
        <v>Aug-2018</v>
      </c>
      <c r="M1254" s="29">
        <f t="shared" si="39"/>
        <v>43313</v>
      </c>
    </row>
    <row r="1255" spans="1:13" ht="21" x14ac:dyDescent="0.35">
      <c r="A1255" s="8">
        <v>2018</v>
      </c>
      <c r="B1255" s="9">
        <v>8</v>
      </c>
      <c r="C1255" s="17" t="s">
        <v>94</v>
      </c>
      <c r="D1255" s="64" t="s">
        <v>0</v>
      </c>
      <c r="E1255" s="9">
        <v>2419.04</v>
      </c>
      <c r="F1255" s="9">
        <v>30</v>
      </c>
      <c r="G1255" s="9">
        <v>80.63</v>
      </c>
      <c r="H1255" s="9" t="s">
        <v>0</v>
      </c>
      <c r="I1255" s="9" t="s">
        <v>0</v>
      </c>
      <c r="J1255" s="9" t="s">
        <v>0</v>
      </c>
      <c r="K1255" s="62" t="s">
        <v>44</v>
      </c>
      <c r="L1255" s="63" t="str">
        <f t="shared" si="38"/>
        <v>Aug-2018</v>
      </c>
      <c r="M1255" s="29">
        <f t="shared" si="39"/>
        <v>43313</v>
      </c>
    </row>
    <row r="1256" spans="1:13" ht="21" x14ac:dyDescent="0.35">
      <c r="A1256" s="8">
        <v>2018</v>
      </c>
      <c r="B1256" s="9">
        <v>8</v>
      </c>
      <c r="C1256" s="17" t="s">
        <v>103</v>
      </c>
      <c r="D1256" s="64" t="s">
        <v>67</v>
      </c>
      <c r="E1256" s="9">
        <v>2364.6899950000002</v>
      </c>
      <c r="F1256" s="9">
        <v>9</v>
      </c>
      <c r="G1256" s="9">
        <v>262.74</v>
      </c>
      <c r="H1256" s="9">
        <v>4</v>
      </c>
      <c r="I1256" s="9">
        <v>0</v>
      </c>
      <c r="J1256" s="9">
        <v>0</v>
      </c>
      <c r="K1256" s="62" t="s">
        <v>44</v>
      </c>
      <c r="L1256" s="63" t="str">
        <f t="shared" si="38"/>
        <v>Aug-2018</v>
      </c>
      <c r="M1256" s="29">
        <f t="shared" si="39"/>
        <v>43313</v>
      </c>
    </row>
    <row r="1257" spans="1:13" ht="21" x14ac:dyDescent="0.35">
      <c r="A1257" s="8">
        <v>2018</v>
      </c>
      <c r="B1257" s="9">
        <v>8</v>
      </c>
      <c r="C1257" s="17" t="s">
        <v>109</v>
      </c>
      <c r="D1257" s="64" t="s">
        <v>99</v>
      </c>
      <c r="E1257" s="9">
        <v>2241.2800219999999</v>
      </c>
      <c r="F1257" s="9">
        <v>15</v>
      </c>
      <c r="G1257" s="9">
        <v>149.41999999999999</v>
      </c>
      <c r="H1257" s="9">
        <v>4.5999999999999996</v>
      </c>
      <c r="I1257" s="9">
        <v>0</v>
      </c>
      <c r="J1257" s="9">
        <v>0</v>
      </c>
      <c r="K1257" s="62" t="s">
        <v>44</v>
      </c>
      <c r="L1257" s="63" t="str">
        <f t="shared" si="38"/>
        <v>Aug-2018</v>
      </c>
      <c r="M1257" s="29">
        <f t="shared" si="39"/>
        <v>43313</v>
      </c>
    </row>
    <row r="1258" spans="1:13" ht="21" x14ac:dyDescent="0.35">
      <c r="A1258" s="8">
        <v>2018</v>
      </c>
      <c r="B1258" s="9">
        <v>8</v>
      </c>
      <c r="C1258" s="17" t="s">
        <v>115</v>
      </c>
      <c r="D1258" s="64" t="s">
        <v>89</v>
      </c>
      <c r="E1258" s="9">
        <v>2197</v>
      </c>
      <c r="F1258" s="9">
        <v>10</v>
      </c>
      <c r="G1258" s="9">
        <v>219.7</v>
      </c>
      <c r="H1258" s="9">
        <v>4.5</v>
      </c>
      <c r="I1258" s="9">
        <v>0</v>
      </c>
      <c r="J1258" s="9">
        <v>0</v>
      </c>
      <c r="K1258" s="62" t="s">
        <v>44</v>
      </c>
      <c r="L1258" s="63" t="str">
        <f t="shared" si="38"/>
        <v>Aug-2018</v>
      </c>
      <c r="M1258" s="29">
        <f t="shared" si="39"/>
        <v>43313</v>
      </c>
    </row>
    <row r="1259" spans="1:13" ht="21" x14ac:dyDescent="0.35">
      <c r="A1259" s="8">
        <v>2018</v>
      </c>
      <c r="B1259" s="9">
        <v>8</v>
      </c>
      <c r="C1259" s="17" t="s">
        <v>118</v>
      </c>
      <c r="D1259" s="64" t="s">
        <v>88</v>
      </c>
      <c r="E1259" s="9">
        <v>2156.4700130000001</v>
      </c>
      <c r="F1259" s="9">
        <v>20</v>
      </c>
      <c r="G1259" s="9">
        <v>107.82</v>
      </c>
      <c r="H1259" s="9">
        <v>4.25</v>
      </c>
      <c r="I1259" s="9">
        <v>0</v>
      </c>
      <c r="J1259" s="9">
        <v>0</v>
      </c>
      <c r="K1259" s="62" t="s">
        <v>44</v>
      </c>
      <c r="L1259" s="63" t="str">
        <f t="shared" si="38"/>
        <v>Aug-2018</v>
      </c>
      <c r="M1259" s="29">
        <f t="shared" si="39"/>
        <v>43313</v>
      </c>
    </row>
    <row r="1260" spans="1:13" ht="21" x14ac:dyDescent="0.35">
      <c r="A1260" s="8">
        <v>2018</v>
      </c>
      <c r="B1260" s="9">
        <v>8</v>
      </c>
      <c r="C1260" s="17" t="s">
        <v>120</v>
      </c>
      <c r="D1260" s="64" t="s">
        <v>69</v>
      </c>
      <c r="E1260" s="9">
        <v>2069.3999880000001</v>
      </c>
      <c r="F1260" s="9">
        <v>24</v>
      </c>
      <c r="G1260" s="9">
        <v>86.22</v>
      </c>
      <c r="H1260" s="9">
        <v>4.4166660000000002</v>
      </c>
      <c r="I1260" s="9">
        <v>0</v>
      </c>
      <c r="J1260" s="9">
        <v>0</v>
      </c>
      <c r="K1260" s="62" t="s">
        <v>44</v>
      </c>
      <c r="L1260" s="63" t="str">
        <f t="shared" si="38"/>
        <v>Aug-2018</v>
      </c>
      <c r="M1260" s="29">
        <f t="shared" si="39"/>
        <v>43313</v>
      </c>
    </row>
    <row r="1261" spans="1:13" ht="21" x14ac:dyDescent="0.35">
      <c r="A1261" s="8">
        <v>2018</v>
      </c>
      <c r="B1261" s="9">
        <v>8</v>
      </c>
      <c r="C1261" s="17" t="s">
        <v>124</v>
      </c>
      <c r="D1261" s="64" t="s">
        <v>127</v>
      </c>
      <c r="E1261" s="9">
        <v>1838.499992</v>
      </c>
      <c r="F1261" s="9">
        <v>5</v>
      </c>
      <c r="G1261" s="9">
        <v>367.7</v>
      </c>
      <c r="H1261" s="9">
        <v>3.6</v>
      </c>
      <c r="I1261" s="9">
        <v>1</v>
      </c>
      <c r="J1261" s="9">
        <v>20</v>
      </c>
      <c r="K1261" s="62" t="s">
        <v>44</v>
      </c>
      <c r="L1261" s="63" t="str">
        <f t="shared" si="38"/>
        <v>Aug-2018</v>
      </c>
      <c r="M1261" s="29">
        <f t="shared" si="39"/>
        <v>43313</v>
      </c>
    </row>
    <row r="1262" spans="1:13" ht="21" x14ac:dyDescent="0.35">
      <c r="A1262" s="8">
        <v>2018</v>
      </c>
      <c r="B1262" s="9">
        <v>8</v>
      </c>
      <c r="C1262" s="17" t="s">
        <v>42</v>
      </c>
      <c r="D1262" s="64" t="s">
        <v>107</v>
      </c>
      <c r="E1262" s="9">
        <v>1825.5900059999999</v>
      </c>
      <c r="F1262" s="9">
        <v>16</v>
      </c>
      <c r="G1262" s="9">
        <v>114.1</v>
      </c>
      <c r="H1262" s="9">
        <v>4.5625</v>
      </c>
      <c r="I1262" s="9">
        <v>0</v>
      </c>
      <c r="J1262" s="9">
        <v>0</v>
      </c>
      <c r="K1262" s="62" t="s">
        <v>44</v>
      </c>
      <c r="L1262" s="63" t="str">
        <f t="shared" si="38"/>
        <v>Aug-2018</v>
      </c>
      <c r="M1262" s="29">
        <f t="shared" si="39"/>
        <v>43313</v>
      </c>
    </row>
    <row r="1263" spans="1:13" ht="21" x14ac:dyDescent="0.35">
      <c r="A1263" s="8">
        <v>2018</v>
      </c>
      <c r="B1263" s="9">
        <v>8</v>
      </c>
      <c r="C1263" s="17" t="s">
        <v>47</v>
      </c>
      <c r="D1263" s="64" t="s">
        <v>71</v>
      </c>
      <c r="E1263" s="9">
        <v>1564.7800179999999</v>
      </c>
      <c r="F1263" s="9">
        <v>34</v>
      </c>
      <c r="G1263" s="9">
        <v>46.02</v>
      </c>
      <c r="H1263" s="9">
        <v>4.3529410000000004</v>
      </c>
      <c r="I1263" s="9">
        <v>0</v>
      </c>
      <c r="J1263" s="9">
        <v>0</v>
      </c>
      <c r="K1263" s="62" t="s">
        <v>44</v>
      </c>
      <c r="L1263" s="63" t="str">
        <f t="shared" si="38"/>
        <v>Aug-2018</v>
      </c>
      <c r="M1263" s="29">
        <f t="shared" si="39"/>
        <v>43313</v>
      </c>
    </row>
    <row r="1264" spans="1:13" ht="21" x14ac:dyDescent="0.35">
      <c r="A1264" s="8">
        <v>2018</v>
      </c>
      <c r="B1264" s="9">
        <v>8</v>
      </c>
      <c r="C1264" s="17" t="s">
        <v>125</v>
      </c>
      <c r="D1264" s="64" t="s">
        <v>68</v>
      </c>
      <c r="E1264" s="9">
        <v>1483.7900030000001</v>
      </c>
      <c r="F1264" s="9">
        <v>28</v>
      </c>
      <c r="G1264" s="9">
        <v>52.99</v>
      </c>
      <c r="H1264" s="9">
        <v>4.7142850000000003</v>
      </c>
      <c r="I1264" s="9">
        <v>0</v>
      </c>
      <c r="J1264" s="9">
        <v>0</v>
      </c>
      <c r="K1264" s="62" t="s">
        <v>44</v>
      </c>
      <c r="L1264" s="63" t="str">
        <f t="shared" si="38"/>
        <v>Aug-2018</v>
      </c>
      <c r="M1264" s="29">
        <f t="shared" si="39"/>
        <v>43313</v>
      </c>
    </row>
    <row r="1265" spans="1:13" ht="21" x14ac:dyDescent="0.35">
      <c r="A1265" s="8">
        <v>2018</v>
      </c>
      <c r="B1265" s="9">
        <v>8</v>
      </c>
      <c r="C1265" s="17" t="s">
        <v>76</v>
      </c>
      <c r="D1265" s="64" t="s">
        <v>105</v>
      </c>
      <c r="E1265" s="9">
        <v>1481.389977</v>
      </c>
      <c r="F1265" s="9">
        <v>18</v>
      </c>
      <c r="G1265" s="9">
        <v>82.3</v>
      </c>
      <c r="H1265" s="9">
        <v>4.1111110000000002</v>
      </c>
      <c r="I1265" s="9">
        <v>0</v>
      </c>
      <c r="J1265" s="9">
        <v>0</v>
      </c>
      <c r="K1265" s="62" t="s">
        <v>44</v>
      </c>
      <c r="L1265" s="63" t="str">
        <f t="shared" si="38"/>
        <v>Aug-2018</v>
      </c>
      <c r="M1265" s="29">
        <f t="shared" si="39"/>
        <v>43313</v>
      </c>
    </row>
    <row r="1266" spans="1:13" ht="21" x14ac:dyDescent="0.35">
      <c r="A1266" s="8">
        <v>2018</v>
      </c>
      <c r="B1266" s="9">
        <v>8</v>
      </c>
      <c r="C1266" s="17" t="s">
        <v>77</v>
      </c>
      <c r="D1266" s="64" t="s">
        <v>104</v>
      </c>
      <c r="E1266" s="9">
        <v>1477.2300090000001</v>
      </c>
      <c r="F1266" s="9">
        <v>25</v>
      </c>
      <c r="G1266" s="9">
        <v>59.09</v>
      </c>
      <c r="H1266" s="9">
        <v>3.96</v>
      </c>
      <c r="I1266" s="9">
        <v>0</v>
      </c>
      <c r="J1266" s="9">
        <v>0</v>
      </c>
      <c r="K1266" s="62" t="s">
        <v>44</v>
      </c>
      <c r="L1266" s="63" t="str">
        <f t="shared" si="38"/>
        <v>Aug-2018</v>
      </c>
      <c r="M1266" s="29">
        <f t="shared" si="39"/>
        <v>43313</v>
      </c>
    </row>
    <row r="1267" spans="1:13" ht="21" x14ac:dyDescent="0.35">
      <c r="A1267" s="8">
        <v>2018</v>
      </c>
      <c r="B1267" s="9">
        <v>8</v>
      </c>
      <c r="C1267" s="17" t="s">
        <v>94</v>
      </c>
      <c r="D1267" s="64" t="s">
        <v>123</v>
      </c>
      <c r="E1267" s="9">
        <v>1285.289986</v>
      </c>
      <c r="F1267" s="9">
        <v>14</v>
      </c>
      <c r="G1267" s="9">
        <v>91.81</v>
      </c>
      <c r="H1267" s="9">
        <v>4.2857139999999996</v>
      </c>
      <c r="I1267" s="9">
        <v>0</v>
      </c>
      <c r="J1267" s="9">
        <v>0</v>
      </c>
      <c r="K1267" s="62" t="s">
        <v>44</v>
      </c>
      <c r="L1267" s="63" t="str">
        <f t="shared" si="38"/>
        <v>Aug-2018</v>
      </c>
      <c r="M1267" s="29">
        <f t="shared" si="39"/>
        <v>43313</v>
      </c>
    </row>
    <row r="1268" spans="1:13" ht="21" x14ac:dyDescent="0.35">
      <c r="A1268" s="8">
        <v>2018</v>
      </c>
      <c r="B1268" s="9">
        <v>8</v>
      </c>
      <c r="C1268" s="17" t="s">
        <v>103</v>
      </c>
      <c r="D1268" s="64" t="s">
        <v>110</v>
      </c>
      <c r="E1268" s="9">
        <v>1255.7700170000001</v>
      </c>
      <c r="F1268" s="9">
        <v>14</v>
      </c>
      <c r="G1268" s="9">
        <v>89.7</v>
      </c>
      <c r="H1268" s="9">
        <v>4.461538</v>
      </c>
      <c r="I1268" s="9">
        <v>0</v>
      </c>
      <c r="J1268" s="9">
        <v>0</v>
      </c>
      <c r="K1268" s="62" t="s">
        <v>44</v>
      </c>
      <c r="L1268" s="63" t="str">
        <f t="shared" si="38"/>
        <v>Aug-2018</v>
      </c>
      <c r="M1268" s="29">
        <f t="shared" si="39"/>
        <v>43313</v>
      </c>
    </row>
    <row r="1269" spans="1:13" ht="21" x14ac:dyDescent="0.35">
      <c r="A1269" s="8">
        <v>2018</v>
      </c>
      <c r="B1269" s="9">
        <v>8</v>
      </c>
      <c r="C1269" s="17" t="s">
        <v>109</v>
      </c>
      <c r="D1269" s="64" t="s">
        <v>106</v>
      </c>
      <c r="E1269" s="9">
        <v>1028.610001</v>
      </c>
      <c r="F1269" s="9">
        <v>16</v>
      </c>
      <c r="G1269" s="9">
        <v>64.290000000000006</v>
      </c>
      <c r="H1269" s="9">
        <v>4.75</v>
      </c>
      <c r="I1269" s="9">
        <v>0</v>
      </c>
      <c r="J1269" s="9">
        <v>0</v>
      </c>
      <c r="K1269" s="62" t="s">
        <v>44</v>
      </c>
      <c r="L1269" s="63" t="str">
        <f t="shared" si="38"/>
        <v>Aug-2018</v>
      </c>
      <c r="M1269" s="29">
        <f t="shared" si="39"/>
        <v>43313</v>
      </c>
    </row>
    <row r="1270" spans="1:13" ht="21" x14ac:dyDescent="0.35">
      <c r="A1270" s="8">
        <v>2018</v>
      </c>
      <c r="B1270" s="9">
        <v>8</v>
      </c>
      <c r="C1270" s="17" t="s">
        <v>115</v>
      </c>
      <c r="D1270" s="64" t="s">
        <v>59</v>
      </c>
      <c r="E1270" s="9">
        <v>949.27000050000004</v>
      </c>
      <c r="F1270" s="9">
        <v>8</v>
      </c>
      <c r="G1270" s="9">
        <v>118.66</v>
      </c>
      <c r="H1270" s="9">
        <v>3.75</v>
      </c>
      <c r="I1270" s="9">
        <v>0</v>
      </c>
      <c r="J1270" s="9">
        <v>0</v>
      </c>
      <c r="K1270" s="62" t="s">
        <v>44</v>
      </c>
      <c r="L1270" s="63" t="str">
        <f t="shared" si="38"/>
        <v>Aug-2018</v>
      </c>
      <c r="M1270" s="29">
        <f t="shared" si="39"/>
        <v>43313</v>
      </c>
    </row>
    <row r="1271" spans="1:13" ht="21" x14ac:dyDescent="0.35">
      <c r="A1271" s="8">
        <v>2018</v>
      </c>
      <c r="B1271" s="9">
        <v>8</v>
      </c>
      <c r="C1271" s="17" t="s">
        <v>118</v>
      </c>
      <c r="D1271" s="64" t="s">
        <v>117</v>
      </c>
      <c r="E1271" s="9">
        <v>901.75998689999994</v>
      </c>
      <c r="F1271" s="9">
        <v>9</v>
      </c>
      <c r="G1271" s="9">
        <v>100.2</v>
      </c>
      <c r="H1271" s="9">
        <v>4.555555</v>
      </c>
      <c r="I1271" s="9">
        <v>0</v>
      </c>
      <c r="J1271" s="9">
        <v>0</v>
      </c>
      <c r="K1271" s="62" t="s">
        <v>44</v>
      </c>
      <c r="L1271" s="63" t="str">
        <f t="shared" si="38"/>
        <v>Aug-2018</v>
      </c>
      <c r="M1271" s="29">
        <f t="shared" si="39"/>
        <v>43313</v>
      </c>
    </row>
    <row r="1272" spans="1:13" ht="21" x14ac:dyDescent="0.35">
      <c r="A1272" s="8">
        <v>2018</v>
      </c>
      <c r="B1272" s="9">
        <v>8</v>
      </c>
      <c r="C1272" s="17" t="s">
        <v>120</v>
      </c>
      <c r="D1272" s="64" t="s">
        <v>101</v>
      </c>
      <c r="E1272" s="9">
        <v>749</v>
      </c>
      <c r="F1272" s="9">
        <v>1</v>
      </c>
      <c r="G1272" s="9">
        <v>749</v>
      </c>
      <c r="H1272" s="9">
        <v>5</v>
      </c>
      <c r="I1272" s="9">
        <v>0</v>
      </c>
      <c r="J1272" s="9">
        <v>0</v>
      </c>
      <c r="K1272" s="62" t="s">
        <v>44</v>
      </c>
      <c r="L1272" s="63" t="str">
        <f t="shared" si="38"/>
        <v>Aug-2018</v>
      </c>
      <c r="M1272" s="29">
        <f t="shared" si="39"/>
        <v>43313</v>
      </c>
    </row>
    <row r="1273" spans="1:13" ht="21" x14ac:dyDescent="0.35">
      <c r="A1273" s="8">
        <v>2018</v>
      </c>
      <c r="B1273" s="9">
        <v>8</v>
      </c>
      <c r="C1273" s="17" t="s">
        <v>124</v>
      </c>
      <c r="D1273" s="64" t="s">
        <v>102</v>
      </c>
      <c r="E1273" s="9">
        <v>685.28000450000002</v>
      </c>
      <c r="F1273" s="9">
        <v>9</v>
      </c>
      <c r="G1273" s="9">
        <v>76.14</v>
      </c>
      <c r="H1273" s="9">
        <v>4</v>
      </c>
      <c r="I1273" s="9">
        <v>0</v>
      </c>
      <c r="J1273" s="9">
        <v>0</v>
      </c>
      <c r="K1273" s="62" t="s">
        <v>44</v>
      </c>
      <c r="L1273" s="63" t="str">
        <f t="shared" si="38"/>
        <v>Aug-2018</v>
      </c>
      <c r="M1273" s="29">
        <f t="shared" si="39"/>
        <v>43313</v>
      </c>
    </row>
    <row r="1274" spans="1:13" ht="21" x14ac:dyDescent="0.35">
      <c r="A1274" s="8">
        <v>2018</v>
      </c>
      <c r="B1274" s="9">
        <v>8</v>
      </c>
      <c r="C1274" s="17" t="s">
        <v>42</v>
      </c>
      <c r="D1274" s="64" t="s">
        <v>113</v>
      </c>
      <c r="E1274" s="9">
        <v>564.37000179999995</v>
      </c>
      <c r="F1274" s="9">
        <v>11</v>
      </c>
      <c r="G1274" s="9">
        <v>51.31</v>
      </c>
      <c r="H1274" s="9">
        <v>4</v>
      </c>
      <c r="I1274" s="9">
        <v>0</v>
      </c>
      <c r="J1274" s="9">
        <v>0</v>
      </c>
      <c r="K1274" s="62" t="s">
        <v>44</v>
      </c>
      <c r="L1274" s="63" t="str">
        <f t="shared" si="38"/>
        <v>Aug-2018</v>
      </c>
      <c r="M1274" s="29">
        <f t="shared" si="39"/>
        <v>43313</v>
      </c>
    </row>
    <row r="1275" spans="1:13" ht="21" x14ac:dyDescent="0.35">
      <c r="A1275" s="8">
        <v>2018</v>
      </c>
      <c r="B1275" s="9">
        <v>8</v>
      </c>
      <c r="C1275" s="17" t="s">
        <v>47</v>
      </c>
      <c r="D1275" s="64" t="s">
        <v>93</v>
      </c>
      <c r="E1275" s="9">
        <v>497.81000230000001</v>
      </c>
      <c r="F1275" s="9">
        <v>6</v>
      </c>
      <c r="G1275" s="9">
        <v>82.97</v>
      </c>
      <c r="H1275" s="9">
        <v>4.6666660000000002</v>
      </c>
      <c r="I1275" s="9">
        <v>0</v>
      </c>
      <c r="J1275" s="9">
        <v>0</v>
      </c>
      <c r="K1275" s="62" t="s">
        <v>44</v>
      </c>
      <c r="L1275" s="63" t="str">
        <f t="shared" si="38"/>
        <v>Aug-2018</v>
      </c>
      <c r="M1275" s="29">
        <f t="shared" si="39"/>
        <v>43313</v>
      </c>
    </row>
    <row r="1276" spans="1:13" ht="21" x14ac:dyDescent="0.35">
      <c r="A1276" s="8">
        <v>2018</v>
      </c>
      <c r="B1276" s="9">
        <v>8</v>
      </c>
      <c r="C1276" s="17" t="s">
        <v>125</v>
      </c>
      <c r="D1276" s="64" t="s">
        <v>74</v>
      </c>
      <c r="E1276" s="9">
        <v>471.29999350000003</v>
      </c>
      <c r="F1276" s="9">
        <v>3</v>
      </c>
      <c r="G1276" s="9">
        <v>157.1</v>
      </c>
      <c r="H1276" s="9">
        <v>4.6666660000000002</v>
      </c>
      <c r="I1276" s="9">
        <v>0</v>
      </c>
      <c r="J1276" s="9">
        <v>0</v>
      </c>
      <c r="K1276" s="62" t="s">
        <v>44</v>
      </c>
      <c r="L1276" s="63" t="str">
        <f t="shared" si="38"/>
        <v>Aug-2018</v>
      </c>
      <c r="M1276" s="29">
        <f t="shared" si="39"/>
        <v>43313</v>
      </c>
    </row>
    <row r="1277" spans="1:13" ht="21" x14ac:dyDescent="0.35">
      <c r="A1277" s="8">
        <v>2018</v>
      </c>
      <c r="B1277" s="9">
        <v>8</v>
      </c>
      <c r="C1277" s="17" t="s">
        <v>76</v>
      </c>
      <c r="D1277" s="64" t="s">
        <v>75</v>
      </c>
      <c r="E1277" s="9">
        <v>381.69001009999999</v>
      </c>
      <c r="F1277" s="9">
        <v>3</v>
      </c>
      <c r="G1277" s="9">
        <v>127.23</v>
      </c>
      <c r="H1277" s="9">
        <v>4.6666660000000002</v>
      </c>
      <c r="I1277" s="9">
        <v>0</v>
      </c>
      <c r="J1277" s="9">
        <v>0</v>
      </c>
      <c r="K1277" s="62" t="s">
        <v>44</v>
      </c>
      <c r="L1277" s="63" t="str">
        <f t="shared" si="38"/>
        <v>Aug-2018</v>
      </c>
      <c r="M1277" s="29">
        <f t="shared" si="39"/>
        <v>43313</v>
      </c>
    </row>
    <row r="1278" spans="1:13" ht="21" x14ac:dyDescent="0.35">
      <c r="A1278" s="8">
        <v>2018</v>
      </c>
      <c r="B1278" s="9">
        <v>8</v>
      </c>
      <c r="C1278" s="17" t="s">
        <v>77</v>
      </c>
      <c r="D1278" s="64" t="s">
        <v>70</v>
      </c>
      <c r="E1278" s="9">
        <v>231.88999939999999</v>
      </c>
      <c r="F1278" s="9">
        <v>3</v>
      </c>
      <c r="G1278" s="9">
        <v>77.3</v>
      </c>
      <c r="H1278" s="9">
        <v>4.6666660000000002</v>
      </c>
      <c r="I1278" s="9">
        <v>0</v>
      </c>
      <c r="J1278" s="9">
        <v>0</v>
      </c>
      <c r="K1278" s="62" t="s">
        <v>44</v>
      </c>
      <c r="L1278" s="63" t="str">
        <f t="shared" si="38"/>
        <v>Aug-2018</v>
      </c>
      <c r="M1278" s="29">
        <f t="shared" si="39"/>
        <v>43313</v>
      </c>
    </row>
    <row r="1279" spans="1:13" ht="21" x14ac:dyDescent="0.35">
      <c r="A1279" s="8">
        <v>2018</v>
      </c>
      <c r="B1279" s="9">
        <v>8</v>
      </c>
      <c r="C1279" s="17" t="s">
        <v>94</v>
      </c>
      <c r="D1279" s="64" t="s">
        <v>87</v>
      </c>
      <c r="E1279" s="9">
        <v>219.9000015</v>
      </c>
      <c r="F1279" s="9">
        <v>2</v>
      </c>
      <c r="G1279" s="9">
        <v>109.95</v>
      </c>
      <c r="H1279" s="9">
        <v>2</v>
      </c>
      <c r="I1279" s="9">
        <v>0</v>
      </c>
      <c r="J1279" s="9">
        <v>0</v>
      </c>
      <c r="K1279" s="62" t="s">
        <v>44</v>
      </c>
      <c r="L1279" s="63" t="str">
        <f t="shared" si="38"/>
        <v>Aug-2018</v>
      </c>
      <c r="M1279" s="29">
        <f t="shared" si="39"/>
        <v>43313</v>
      </c>
    </row>
    <row r="1280" spans="1:13" ht="21" x14ac:dyDescent="0.35">
      <c r="A1280" s="8">
        <v>2018</v>
      </c>
      <c r="B1280" s="9">
        <v>8</v>
      </c>
      <c r="C1280" s="17" t="s">
        <v>103</v>
      </c>
      <c r="D1280" s="64" t="s">
        <v>111</v>
      </c>
      <c r="E1280" s="9">
        <v>219</v>
      </c>
      <c r="F1280" s="9">
        <v>1</v>
      </c>
      <c r="G1280" s="9">
        <v>219</v>
      </c>
      <c r="H1280" s="9">
        <v>4</v>
      </c>
      <c r="I1280" s="9">
        <v>0</v>
      </c>
      <c r="J1280" s="9">
        <v>0</v>
      </c>
      <c r="K1280" s="62" t="s">
        <v>44</v>
      </c>
      <c r="L1280" s="63" t="str">
        <f t="shared" si="38"/>
        <v>Aug-2018</v>
      </c>
      <c r="M1280" s="29">
        <f t="shared" si="39"/>
        <v>43313</v>
      </c>
    </row>
    <row r="1281" spans="1:13" ht="21" x14ac:dyDescent="0.35">
      <c r="A1281" s="8">
        <v>2018</v>
      </c>
      <c r="B1281" s="9">
        <v>8</v>
      </c>
      <c r="C1281" s="17" t="s">
        <v>109</v>
      </c>
      <c r="D1281" s="64" t="s">
        <v>73</v>
      </c>
      <c r="E1281" s="9">
        <v>129.97000499999999</v>
      </c>
      <c r="F1281" s="9">
        <v>2</v>
      </c>
      <c r="G1281" s="9">
        <v>64.989999999999995</v>
      </c>
      <c r="H1281" s="9">
        <v>4</v>
      </c>
      <c r="I1281" s="9">
        <v>0</v>
      </c>
      <c r="J1281" s="9">
        <v>0</v>
      </c>
      <c r="K1281" s="62" t="s">
        <v>44</v>
      </c>
      <c r="L1281" s="63" t="str">
        <f t="shared" si="38"/>
        <v>Aug-2018</v>
      </c>
      <c r="M1281" s="29">
        <f t="shared" si="39"/>
        <v>43313</v>
      </c>
    </row>
    <row r="1282" spans="1:13" ht="21" x14ac:dyDescent="0.35">
      <c r="A1282" s="8">
        <v>2018</v>
      </c>
      <c r="B1282" s="9">
        <v>8</v>
      </c>
      <c r="C1282" s="17" t="s">
        <v>115</v>
      </c>
      <c r="D1282" s="64" t="s">
        <v>108</v>
      </c>
      <c r="E1282" s="9">
        <v>69.900001529999997</v>
      </c>
      <c r="F1282" s="9">
        <v>1</v>
      </c>
      <c r="G1282" s="9">
        <v>69.900000000000006</v>
      </c>
      <c r="H1282" s="9">
        <v>3</v>
      </c>
      <c r="I1282" s="9">
        <v>0</v>
      </c>
      <c r="J1282" s="9">
        <v>0</v>
      </c>
      <c r="K1282" s="62" t="s">
        <v>44</v>
      </c>
      <c r="L1282" s="63" t="str">
        <f t="shared" ref="L1282:L1284" si="40">TEXT(DATE(A1282,B1282,1),"mmm-yyyy")</f>
        <v>Aug-2018</v>
      </c>
      <c r="M1282" s="29">
        <f t="shared" ref="M1282:M1284" si="41">DATE(A1282,B1282,1)</f>
        <v>43313</v>
      </c>
    </row>
    <row r="1283" spans="1:13" ht="21" x14ac:dyDescent="0.35">
      <c r="A1283" s="8">
        <v>2018</v>
      </c>
      <c r="B1283" s="9">
        <v>8</v>
      </c>
      <c r="C1283" s="17" t="s">
        <v>118</v>
      </c>
      <c r="D1283" s="64" t="s">
        <v>92</v>
      </c>
      <c r="E1283" s="9">
        <v>8.8999996190000008</v>
      </c>
      <c r="F1283" s="9">
        <v>1</v>
      </c>
      <c r="G1283" s="9">
        <v>8.9</v>
      </c>
      <c r="H1283" s="9">
        <v>5</v>
      </c>
      <c r="I1283" s="9">
        <v>0</v>
      </c>
      <c r="J1283" s="9">
        <v>0</v>
      </c>
      <c r="K1283" s="62" t="s">
        <v>44</v>
      </c>
      <c r="L1283" s="63" t="str">
        <f t="shared" si="40"/>
        <v>Aug-2018</v>
      </c>
      <c r="M1283" s="29">
        <f t="shared" si="41"/>
        <v>43313</v>
      </c>
    </row>
    <row r="1284" spans="1:13" ht="21" x14ac:dyDescent="0.35">
      <c r="A1284" s="11">
        <v>2018</v>
      </c>
      <c r="B1284" s="12">
        <v>9</v>
      </c>
      <c r="C1284" s="17" t="s">
        <v>120</v>
      </c>
      <c r="D1284" s="65" t="s">
        <v>88</v>
      </c>
      <c r="E1284" s="12">
        <v>145</v>
      </c>
      <c r="F1284" s="12">
        <v>1</v>
      </c>
      <c r="G1284" s="12">
        <v>145</v>
      </c>
      <c r="H1284" s="12">
        <v>1</v>
      </c>
      <c r="I1284" s="12">
        <v>0</v>
      </c>
      <c r="J1284" s="12">
        <v>0</v>
      </c>
      <c r="K1284" s="62" t="s">
        <v>44</v>
      </c>
      <c r="L1284" s="63" t="str">
        <f t="shared" si="40"/>
        <v>Sep-2018</v>
      </c>
      <c r="M1284" s="29">
        <f t="shared" si="41"/>
        <v>43344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7"/>
  <sheetViews>
    <sheetView zoomScale="70" zoomScaleNormal="70" workbookViewId="0">
      <selection activeCell="B7" sqref="B7"/>
    </sheetView>
  </sheetViews>
  <sheetFormatPr defaultRowHeight="15" x14ac:dyDescent="0.25"/>
  <cols>
    <col min="1" max="1" width="51" customWidth="1"/>
    <col min="2" max="2" width="21.7109375" bestFit="1" customWidth="1"/>
    <col min="3" max="9" width="17.7109375" customWidth="1"/>
    <col min="10" max="10" width="17.7109375" bestFit="1" customWidth="1"/>
    <col min="11" max="11" width="17.7109375" customWidth="1"/>
    <col min="12" max="13" width="17.7109375" bestFit="1" customWidth="1"/>
    <col min="14" max="14" width="14.85546875" bestFit="1" customWidth="1"/>
    <col min="15" max="24" width="17.7109375" bestFit="1" customWidth="1"/>
    <col min="25" max="25" width="12.85546875" customWidth="1"/>
    <col min="26" max="26" width="16" customWidth="1"/>
    <col min="27" max="27" width="12" bestFit="1" customWidth="1"/>
    <col min="28" max="28" width="9" bestFit="1" customWidth="1"/>
    <col min="29" max="29" width="15.85546875" bestFit="1" customWidth="1"/>
    <col min="30" max="31" width="12" bestFit="1" customWidth="1"/>
    <col min="32" max="32" width="13.140625" bestFit="1" customWidth="1"/>
    <col min="33" max="33" width="12.28515625" bestFit="1" customWidth="1"/>
    <col min="34" max="34" width="15.42578125" bestFit="1" customWidth="1"/>
    <col min="35" max="36" width="12" bestFit="1" customWidth="1"/>
    <col min="37" max="37" width="15.140625" bestFit="1" customWidth="1"/>
    <col min="38" max="38" width="12" bestFit="1" customWidth="1"/>
  </cols>
  <sheetData>
    <row r="1" spans="1:26" ht="18.75" x14ac:dyDescent="0.3">
      <c r="A1" s="40" t="s">
        <v>129</v>
      </c>
      <c r="B1" s="33" t="s">
        <v>135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s="39" customFormat="1" ht="21" x14ac:dyDescent="0.25">
      <c r="A2" s="37" t="s">
        <v>133</v>
      </c>
      <c r="B2" s="38">
        <v>42614</v>
      </c>
      <c r="C2" s="38">
        <v>42644</v>
      </c>
      <c r="D2" s="38">
        <v>42705</v>
      </c>
      <c r="E2" s="38">
        <v>42736</v>
      </c>
      <c r="F2" s="38">
        <v>42767</v>
      </c>
      <c r="G2" s="38">
        <v>42795</v>
      </c>
      <c r="H2" s="38">
        <v>42826</v>
      </c>
      <c r="I2" s="38">
        <v>42856</v>
      </c>
      <c r="J2" s="38">
        <v>42887</v>
      </c>
      <c r="K2" s="38">
        <v>42917</v>
      </c>
      <c r="L2" s="38">
        <v>42948</v>
      </c>
      <c r="M2" s="38">
        <v>42979</v>
      </c>
      <c r="N2" s="38">
        <v>43009</v>
      </c>
      <c r="O2" s="38">
        <v>43040</v>
      </c>
      <c r="P2" s="38">
        <v>43070</v>
      </c>
      <c r="Q2" s="38">
        <v>43101</v>
      </c>
      <c r="R2" s="38">
        <v>43132</v>
      </c>
      <c r="S2" s="38">
        <v>43160</v>
      </c>
      <c r="T2" s="38">
        <v>43191</v>
      </c>
      <c r="U2" s="38">
        <v>43221</v>
      </c>
      <c r="V2" s="38">
        <v>43252</v>
      </c>
      <c r="W2" s="38">
        <v>43282</v>
      </c>
      <c r="X2" s="38">
        <v>43313</v>
      </c>
      <c r="Y2" s="38">
        <v>43344</v>
      </c>
      <c r="Z2" s="38" t="s">
        <v>128</v>
      </c>
    </row>
    <row r="3" spans="1:26" ht="18.75" x14ac:dyDescent="0.3">
      <c r="A3" s="35" t="s">
        <v>91</v>
      </c>
      <c r="B3" s="36"/>
      <c r="C3" s="36"/>
      <c r="D3" s="36"/>
      <c r="E3" s="36">
        <v>65.969999310000006</v>
      </c>
      <c r="F3" s="36">
        <v>224.84000019999999</v>
      </c>
      <c r="G3" s="36">
        <v>81.990001680000006</v>
      </c>
      <c r="H3" s="36"/>
      <c r="I3" s="36">
        <v>1579.9399639999999</v>
      </c>
      <c r="J3" s="36">
        <v>1390</v>
      </c>
      <c r="K3" s="36">
        <v>1180</v>
      </c>
      <c r="L3" s="36">
        <v>88</v>
      </c>
      <c r="M3" s="36">
        <v>1993.98999</v>
      </c>
      <c r="N3" s="36">
        <v>3350.2799799999998</v>
      </c>
      <c r="O3" s="36">
        <v>13932.48985</v>
      </c>
      <c r="P3" s="36">
        <v>5291.7000049999997</v>
      </c>
      <c r="Q3" s="36">
        <v>5853.4400020000003</v>
      </c>
      <c r="R3" s="36">
        <v>7404.7999879999998</v>
      </c>
      <c r="S3" s="36">
        <v>6019</v>
      </c>
      <c r="T3" s="36">
        <v>4500.7000500000004</v>
      </c>
      <c r="U3" s="36">
        <v>3279.749992</v>
      </c>
      <c r="V3" s="36">
        <v>3515.7999949999999</v>
      </c>
      <c r="W3" s="36">
        <v>7756.690012</v>
      </c>
      <c r="X3" s="36">
        <v>5021.0899730000001</v>
      </c>
      <c r="Y3" s="36"/>
      <c r="Z3" s="36">
        <v>72530.469802189997</v>
      </c>
    </row>
    <row r="4" spans="1:26" ht="18.75" x14ac:dyDescent="0.3">
      <c r="A4" s="35" t="s">
        <v>72</v>
      </c>
      <c r="B4" s="36"/>
      <c r="C4" s="36">
        <v>79.900001529999997</v>
      </c>
      <c r="D4" s="36"/>
      <c r="E4" s="36">
        <v>42.819999690000003</v>
      </c>
      <c r="F4" s="36">
        <v>715.62997629999995</v>
      </c>
      <c r="G4" s="36">
        <v>2667.5599609999999</v>
      </c>
      <c r="H4" s="36">
        <v>491.2999992</v>
      </c>
      <c r="I4" s="36">
        <v>387.89999390000003</v>
      </c>
      <c r="J4" s="36">
        <v>149.8999939</v>
      </c>
      <c r="K4" s="36">
        <v>584.15999790000001</v>
      </c>
      <c r="L4" s="36">
        <v>364.49999430000003</v>
      </c>
      <c r="M4" s="36">
        <v>992.91999239999996</v>
      </c>
      <c r="N4" s="36">
        <v>806.06000329999995</v>
      </c>
      <c r="O4" s="36">
        <v>556.95000460000006</v>
      </c>
      <c r="P4" s="36">
        <v>978.19000240000003</v>
      </c>
      <c r="Q4" s="36">
        <v>868.41000940000004</v>
      </c>
      <c r="R4" s="36">
        <v>1933.4200040000001</v>
      </c>
      <c r="S4" s="36">
        <v>1559.900003</v>
      </c>
      <c r="T4" s="36">
        <v>1665.430014</v>
      </c>
      <c r="U4" s="36">
        <v>1542.93</v>
      </c>
      <c r="V4" s="36">
        <v>1371.1800040000001</v>
      </c>
      <c r="W4" s="36">
        <v>3378.1699960000001</v>
      </c>
      <c r="X4" s="36">
        <v>8256.1800120000007</v>
      </c>
      <c r="Y4" s="36"/>
      <c r="Z4" s="36">
        <v>29393.409962820002</v>
      </c>
    </row>
    <row r="5" spans="1:26" ht="18.75" x14ac:dyDescent="0.3">
      <c r="A5" s="35" t="s">
        <v>106</v>
      </c>
      <c r="B5" s="36"/>
      <c r="C5" s="36"/>
      <c r="D5" s="36"/>
      <c r="E5" s="36"/>
      <c r="F5" s="36"/>
      <c r="G5" s="36">
        <v>110.7999992</v>
      </c>
      <c r="H5" s="36">
        <v>47.899999620000003</v>
      </c>
      <c r="I5" s="36">
        <v>416.28999709999999</v>
      </c>
      <c r="J5" s="36">
        <v>57.399999620000003</v>
      </c>
      <c r="K5" s="36">
        <v>168.1999989</v>
      </c>
      <c r="L5" s="36">
        <v>494.81001279999998</v>
      </c>
      <c r="M5" s="36">
        <v>310.86000630000001</v>
      </c>
      <c r="N5" s="36">
        <v>2297.229977</v>
      </c>
      <c r="O5" s="36">
        <v>2445.5700069999998</v>
      </c>
      <c r="P5" s="36">
        <v>1098.6799960000001</v>
      </c>
      <c r="Q5" s="36">
        <v>341.17000009999998</v>
      </c>
      <c r="R5" s="36">
        <v>1059.1000019999999</v>
      </c>
      <c r="S5" s="36">
        <v>2350.7700289999998</v>
      </c>
      <c r="T5" s="36">
        <v>605.07000919999996</v>
      </c>
      <c r="U5" s="36">
        <v>1239.44001</v>
      </c>
      <c r="V5" s="36">
        <v>293.85000230000003</v>
      </c>
      <c r="W5" s="36">
        <v>813.73000139999999</v>
      </c>
      <c r="X5" s="36">
        <v>1028.610001</v>
      </c>
      <c r="Y5" s="36"/>
      <c r="Z5" s="36">
        <v>15179.480048539997</v>
      </c>
    </row>
    <row r="6" spans="1:26" ht="18.75" x14ac:dyDescent="0.3">
      <c r="A6" s="35" t="s">
        <v>105</v>
      </c>
      <c r="B6" s="36"/>
      <c r="C6" s="36"/>
      <c r="D6" s="36"/>
      <c r="E6" s="36"/>
      <c r="F6" s="36"/>
      <c r="G6" s="36">
        <v>223.25</v>
      </c>
      <c r="H6" s="36">
        <v>119.9000015</v>
      </c>
      <c r="I6" s="36">
        <v>6967.650009</v>
      </c>
      <c r="J6" s="36">
        <v>421.7000122</v>
      </c>
      <c r="K6" s="36">
        <v>386.7499924</v>
      </c>
      <c r="L6" s="36">
        <v>244.7000046</v>
      </c>
      <c r="M6" s="36">
        <v>388.53999329999999</v>
      </c>
      <c r="N6" s="36">
        <v>349.05000310000003</v>
      </c>
      <c r="O6" s="36">
        <v>75</v>
      </c>
      <c r="P6" s="36">
        <v>115.2500014</v>
      </c>
      <c r="Q6" s="36">
        <v>2540.7700730000001</v>
      </c>
      <c r="R6" s="36">
        <v>1251.7099840000001</v>
      </c>
      <c r="S6" s="36">
        <v>461.50000189999997</v>
      </c>
      <c r="T6" s="36">
        <v>2140.2799799999998</v>
      </c>
      <c r="U6" s="36">
        <v>2691.8599880000002</v>
      </c>
      <c r="V6" s="36">
        <v>2500.1399940000001</v>
      </c>
      <c r="W6" s="36">
        <v>1843.199963</v>
      </c>
      <c r="X6" s="36">
        <v>1481.389977</v>
      </c>
      <c r="Y6" s="36"/>
      <c r="Z6" s="36">
        <v>24202.639978399999</v>
      </c>
    </row>
    <row r="7" spans="1:26" ht="18.75" x14ac:dyDescent="0.3">
      <c r="A7" s="35" t="s">
        <v>117</v>
      </c>
      <c r="B7" s="36"/>
      <c r="C7" s="36"/>
      <c r="D7" s="36"/>
      <c r="E7" s="36"/>
      <c r="F7" s="36"/>
      <c r="G7" s="36"/>
      <c r="H7" s="36"/>
      <c r="I7" s="36">
        <v>21.989999770000001</v>
      </c>
      <c r="J7" s="36"/>
      <c r="K7" s="36">
        <v>129.8999939</v>
      </c>
      <c r="L7" s="36"/>
      <c r="M7" s="36"/>
      <c r="N7" s="36"/>
      <c r="O7" s="36"/>
      <c r="P7" s="36"/>
      <c r="Q7" s="36"/>
      <c r="R7" s="36"/>
      <c r="S7" s="36"/>
      <c r="T7" s="36">
        <v>15.989999770000001</v>
      </c>
      <c r="U7" s="36">
        <v>89.800003050000001</v>
      </c>
      <c r="V7" s="36"/>
      <c r="W7" s="36">
        <v>654.57002160000002</v>
      </c>
      <c r="X7" s="36">
        <v>901.75998689999994</v>
      </c>
      <c r="Y7" s="36"/>
      <c r="Z7" s="36">
        <v>1814.01000499</v>
      </c>
    </row>
    <row r="8" spans="1:26" ht="18.75" x14ac:dyDescent="0.3">
      <c r="A8" s="35" t="s">
        <v>123</v>
      </c>
      <c r="B8" s="36"/>
      <c r="C8" s="36"/>
      <c r="D8" s="36"/>
      <c r="E8" s="36"/>
      <c r="F8" s="36"/>
      <c r="G8" s="36"/>
      <c r="H8" s="36"/>
      <c r="I8" s="36"/>
      <c r="J8" s="36"/>
      <c r="K8" s="36">
        <v>69.900001529999997</v>
      </c>
      <c r="L8" s="36"/>
      <c r="M8" s="36">
        <v>269.7999878</v>
      </c>
      <c r="N8" s="36">
        <v>137.8000031</v>
      </c>
      <c r="O8" s="36">
        <v>870.6900177</v>
      </c>
      <c r="P8" s="36">
        <v>515.20001219999995</v>
      </c>
      <c r="Q8" s="36">
        <v>135.8000031</v>
      </c>
      <c r="R8" s="36"/>
      <c r="S8" s="36">
        <v>913.89999580000006</v>
      </c>
      <c r="T8" s="36">
        <v>43.799999239999998</v>
      </c>
      <c r="U8" s="36">
        <v>100.6999989</v>
      </c>
      <c r="V8" s="36">
        <v>84.800001140000006</v>
      </c>
      <c r="W8" s="36">
        <v>57.5</v>
      </c>
      <c r="X8" s="36">
        <v>1285.289986</v>
      </c>
      <c r="Y8" s="36"/>
      <c r="Z8" s="36">
        <v>4485.1800065099997</v>
      </c>
    </row>
    <row r="9" spans="1:26" ht="18.75" x14ac:dyDescent="0.3">
      <c r="A9" s="35" t="s">
        <v>113</v>
      </c>
      <c r="B9" s="36"/>
      <c r="C9" s="36"/>
      <c r="D9" s="36"/>
      <c r="E9" s="36"/>
      <c r="F9" s="36"/>
      <c r="G9" s="36"/>
      <c r="H9" s="36">
        <v>69</v>
      </c>
      <c r="I9" s="36"/>
      <c r="J9" s="36">
        <v>184.7000008</v>
      </c>
      <c r="K9" s="36">
        <v>65.090001580000006</v>
      </c>
      <c r="L9" s="36">
        <v>58.900001529999997</v>
      </c>
      <c r="M9" s="36">
        <v>254.7000046</v>
      </c>
      <c r="N9" s="36">
        <v>388.05000690000003</v>
      </c>
      <c r="O9" s="36">
        <v>1340.5799930000001</v>
      </c>
      <c r="P9" s="36">
        <v>493.90000579999997</v>
      </c>
      <c r="Q9" s="36">
        <v>851.5000076</v>
      </c>
      <c r="R9" s="36">
        <v>2059.650024</v>
      </c>
      <c r="S9" s="36">
        <v>854.95000930000003</v>
      </c>
      <c r="T9" s="36">
        <v>275.1500039</v>
      </c>
      <c r="U9" s="36">
        <v>524.53000450000002</v>
      </c>
      <c r="V9" s="36">
        <v>306.1900043</v>
      </c>
      <c r="W9" s="36">
        <v>509.56000230000001</v>
      </c>
      <c r="X9" s="36">
        <v>564.37000179999995</v>
      </c>
      <c r="Y9" s="36"/>
      <c r="Z9" s="36">
        <v>8800.8200719100005</v>
      </c>
    </row>
    <row r="10" spans="1:26" ht="18.75" x14ac:dyDescent="0.3">
      <c r="A10" s="35" t="s">
        <v>69</v>
      </c>
      <c r="B10" s="36"/>
      <c r="C10" s="36">
        <v>156.98999979999999</v>
      </c>
      <c r="D10" s="36"/>
      <c r="E10" s="36"/>
      <c r="F10" s="36">
        <v>163.7999992</v>
      </c>
      <c r="G10" s="36">
        <v>1134.770008</v>
      </c>
      <c r="H10" s="36">
        <v>942.20000460000006</v>
      </c>
      <c r="I10" s="36">
        <v>2081.1799930000002</v>
      </c>
      <c r="J10" s="36">
        <v>1671</v>
      </c>
      <c r="K10" s="36">
        <v>771.68999859999997</v>
      </c>
      <c r="L10" s="36">
        <v>1050.6999949999999</v>
      </c>
      <c r="M10" s="36">
        <v>1042.5900019999999</v>
      </c>
      <c r="N10" s="36">
        <v>2348.4799790000002</v>
      </c>
      <c r="O10" s="36">
        <v>3677.2299290000001</v>
      </c>
      <c r="P10" s="36">
        <v>2686.9299700000001</v>
      </c>
      <c r="Q10" s="36">
        <v>3820.2799610000002</v>
      </c>
      <c r="R10" s="36">
        <v>2828.4899879999998</v>
      </c>
      <c r="S10" s="36">
        <v>10606.68995</v>
      </c>
      <c r="T10" s="36">
        <v>7045.0698849999999</v>
      </c>
      <c r="U10" s="36">
        <v>2697.679987</v>
      </c>
      <c r="V10" s="36">
        <v>1830.6900009999999</v>
      </c>
      <c r="W10" s="36">
        <v>2062.6399879999999</v>
      </c>
      <c r="X10" s="36">
        <v>2069.3999880000001</v>
      </c>
      <c r="Y10" s="36"/>
      <c r="Z10" s="36">
        <v>50688.499626200006</v>
      </c>
    </row>
    <row r="11" spans="1:26" ht="18.75" x14ac:dyDescent="0.3">
      <c r="A11" s="35" t="s">
        <v>53</v>
      </c>
      <c r="B11" s="36"/>
      <c r="C11" s="36">
        <v>1833.2499829999999</v>
      </c>
      <c r="D11" s="36"/>
      <c r="E11" s="36">
        <v>5218.5299359999999</v>
      </c>
      <c r="F11" s="36">
        <v>13162.40005</v>
      </c>
      <c r="G11" s="36">
        <v>14482.07006</v>
      </c>
      <c r="H11" s="36">
        <v>15548.17002</v>
      </c>
      <c r="I11" s="36">
        <v>18640.03009</v>
      </c>
      <c r="J11" s="36">
        <v>31370.689989999999</v>
      </c>
      <c r="K11" s="36">
        <v>14119.74006</v>
      </c>
      <c r="L11" s="36">
        <v>20421.109929999999</v>
      </c>
      <c r="M11" s="36">
        <v>14544.670029999999</v>
      </c>
      <c r="N11" s="36">
        <v>21505.280009999999</v>
      </c>
      <c r="O11" s="36">
        <v>34955.380120000002</v>
      </c>
      <c r="P11" s="36">
        <v>39287.639969999997</v>
      </c>
      <c r="Q11" s="36">
        <v>35995.020109999998</v>
      </c>
      <c r="R11" s="36">
        <v>41706.890070000001</v>
      </c>
      <c r="S11" s="36">
        <v>44753.240010000001</v>
      </c>
      <c r="T11" s="36">
        <v>49629.190139999999</v>
      </c>
      <c r="U11" s="36">
        <v>40928.140149999999</v>
      </c>
      <c r="V11" s="36">
        <v>45407.489950000003</v>
      </c>
      <c r="W11" s="36">
        <v>43830.290070000003</v>
      </c>
      <c r="X11" s="36">
        <v>45380.889969999997</v>
      </c>
      <c r="Y11" s="36"/>
      <c r="Z11" s="36">
        <v>592720.11071900011</v>
      </c>
    </row>
    <row r="12" spans="1:26" ht="18.75" x14ac:dyDescent="0.3">
      <c r="A12" s="35" t="s">
        <v>55</v>
      </c>
      <c r="B12" s="36"/>
      <c r="C12" s="36">
        <v>1630.1600060000001</v>
      </c>
      <c r="D12" s="36"/>
      <c r="E12" s="36">
        <v>6397.8700120000003</v>
      </c>
      <c r="F12" s="36">
        <v>3048.4800049999999</v>
      </c>
      <c r="G12" s="36">
        <v>3724.0799849999999</v>
      </c>
      <c r="H12" s="36">
        <v>3980.4500539999999</v>
      </c>
      <c r="I12" s="36">
        <v>9849.5100540000003</v>
      </c>
      <c r="J12" s="36">
        <v>7864.7400379999999</v>
      </c>
      <c r="K12" s="36">
        <v>15941.11001</v>
      </c>
      <c r="L12" s="36">
        <v>19982.129919999999</v>
      </c>
      <c r="M12" s="36">
        <v>24366.300009999999</v>
      </c>
      <c r="N12" s="36">
        <v>16497.500039999999</v>
      </c>
      <c r="O12" s="36">
        <v>21738.780050000001</v>
      </c>
      <c r="P12" s="36">
        <v>19943.08005</v>
      </c>
      <c r="Q12" s="36">
        <v>30058.47003</v>
      </c>
      <c r="R12" s="36">
        <v>25985.82012</v>
      </c>
      <c r="S12" s="36">
        <v>41985.740080000003</v>
      </c>
      <c r="T12" s="36">
        <v>49821.839899999999</v>
      </c>
      <c r="U12" s="36">
        <v>34003.599950000003</v>
      </c>
      <c r="V12" s="36">
        <v>30755.119790000001</v>
      </c>
      <c r="W12" s="36">
        <v>22185.95997</v>
      </c>
      <c r="X12" s="36">
        <v>22004.149969999999</v>
      </c>
      <c r="Y12" s="36"/>
      <c r="Z12" s="36">
        <v>411764.890044</v>
      </c>
    </row>
    <row r="13" spans="1:26" ht="18.75" x14ac:dyDescent="0.3">
      <c r="A13" s="35" t="s">
        <v>104</v>
      </c>
      <c r="B13" s="36"/>
      <c r="C13" s="36"/>
      <c r="D13" s="36"/>
      <c r="E13" s="36"/>
      <c r="F13" s="36"/>
      <c r="G13" s="36">
        <v>463.86999889999998</v>
      </c>
      <c r="H13" s="36">
        <v>199.92999649999999</v>
      </c>
      <c r="I13" s="36">
        <v>90</v>
      </c>
      <c r="J13" s="36">
        <v>49.990001679999999</v>
      </c>
      <c r="K13" s="36">
        <v>273.97000889999998</v>
      </c>
      <c r="L13" s="36">
        <v>119.9000015</v>
      </c>
      <c r="M13" s="36">
        <v>327.97000120000001</v>
      </c>
      <c r="N13" s="36">
        <v>596.97999760000005</v>
      </c>
      <c r="O13" s="36">
        <v>748.60999679999998</v>
      </c>
      <c r="P13" s="36">
        <v>2132.8400360000001</v>
      </c>
      <c r="Q13" s="36">
        <v>2307.6100499999998</v>
      </c>
      <c r="R13" s="36">
        <v>1967.4400390000001</v>
      </c>
      <c r="S13" s="36">
        <v>962.70001600000001</v>
      </c>
      <c r="T13" s="36">
        <v>5016.4399030000004</v>
      </c>
      <c r="U13" s="36">
        <v>2790.9799859999998</v>
      </c>
      <c r="V13" s="36">
        <v>1567.070007</v>
      </c>
      <c r="W13" s="36">
        <v>1335.1699980000001</v>
      </c>
      <c r="X13" s="36">
        <v>1477.2300090000001</v>
      </c>
      <c r="Y13" s="36"/>
      <c r="Z13" s="36">
        <v>22428.700047079998</v>
      </c>
    </row>
    <row r="14" spans="1:26" ht="18.75" x14ac:dyDescent="0.3">
      <c r="A14" s="35" t="s">
        <v>43</v>
      </c>
      <c r="B14" s="36">
        <v>134.97000499999999</v>
      </c>
      <c r="C14" s="36">
        <v>4552.5100210000001</v>
      </c>
      <c r="D14" s="36"/>
      <c r="E14" s="36">
        <v>12561.31999</v>
      </c>
      <c r="F14" s="36">
        <v>22838.789840000001</v>
      </c>
      <c r="G14" s="36">
        <v>25995.25</v>
      </c>
      <c r="H14" s="36">
        <v>22935.749909999999</v>
      </c>
      <c r="I14" s="36">
        <v>46786.019749999999</v>
      </c>
      <c r="J14" s="36">
        <v>32029.389930000001</v>
      </c>
      <c r="K14" s="36">
        <v>34896.859980000001</v>
      </c>
      <c r="L14" s="36">
        <v>49873.900139999998</v>
      </c>
      <c r="M14" s="36">
        <v>51537.64993</v>
      </c>
      <c r="N14" s="36">
        <v>41915.72</v>
      </c>
      <c r="O14" s="36">
        <v>79120.400099999999</v>
      </c>
      <c r="P14" s="36">
        <v>61264.659890000003</v>
      </c>
      <c r="Q14" s="36">
        <v>72470.489950000003</v>
      </c>
      <c r="R14" s="36">
        <v>86996.060540000006</v>
      </c>
      <c r="S14" s="36">
        <v>90034.410699999993</v>
      </c>
      <c r="T14" s="36">
        <v>91751.039990000005</v>
      </c>
      <c r="U14" s="36">
        <v>96460.359719999993</v>
      </c>
      <c r="V14" s="36">
        <v>107908.8199</v>
      </c>
      <c r="W14" s="36">
        <v>105813.03019999999</v>
      </c>
      <c r="X14" s="36">
        <v>120803.94040000001</v>
      </c>
      <c r="Y14" s="36"/>
      <c r="Z14" s="36">
        <v>1258681.3408859998</v>
      </c>
    </row>
    <row r="15" spans="1:26" ht="18.75" x14ac:dyDescent="0.3">
      <c r="A15" s="35" t="s">
        <v>49</v>
      </c>
      <c r="B15" s="36"/>
      <c r="C15" s="36">
        <v>4465.08997</v>
      </c>
      <c r="D15" s="36"/>
      <c r="E15" s="36">
        <v>4814.0899980000004</v>
      </c>
      <c r="F15" s="36">
        <v>9403.3400230000007</v>
      </c>
      <c r="G15" s="36">
        <v>12429.470090000001</v>
      </c>
      <c r="H15" s="36">
        <v>13039.42994</v>
      </c>
      <c r="I15" s="36">
        <v>22626.949929999999</v>
      </c>
      <c r="J15" s="36">
        <v>15476.350049999999</v>
      </c>
      <c r="K15" s="36">
        <v>24511.72003</v>
      </c>
      <c r="L15" s="36">
        <v>18126.870019999998</v>
      </c>
      <c r="M15" s="36">
        <v>31399.22005</v>
      </c>
      <c r="N15" s="36">
        <v>34633.009879999998</v>
      </c>
      <c r="O15" s="36">
        <v>64320.890010000003</v>
      </c>
      <c r="P15" s="36">
        <v>57194.139949999997</v>
      </c>
      <c r="Q15" s="36">
        <v>21948.230039999999</v>
      </c>
      <c r="R15" s="36">
        <v>14778.929980000001</v>
      </c>
      <c r="S15" s="36">
        <v>23407.40019</v>
      </c>
      <c r="T15" s="36">
        <v>23352.38017</v>
      </c>
      <c r="U15" s="36">
        <v>31767.3001</v>
      </c>
      <c r="V15" s="36">
        <v>21221.45003</v>
      </c>
      <c r="W15" s="36">
        <v>17277.289970000002</v>
      </c>
      <c r="X15" s="36">
        <v>17753.050039999998</v>
      </c>
      <c r="Y15" s="36"/>
      <c r="Z15" s="36">
        <v>483946.60046099999</v>
      </c>
    </row>
    <row r="16" spans="1:26" ht="18.75" x14ac:dyDescent="0.3">
      <c r="A16" s="35" t="s">
        <v>66</v>
      </c>
      <c r="B16" s="36"/>
      <c r="C16" s="36">
        <v>478.98999789999999</v>
      </c>
      <c r="D16" s="36"/>
      <c r="E16" s="36">
        <v>3960.160034</v>
      </c>
      <c r="F16" s="36">
        <v>16282.729880000001</v>
      </c>
      <c r="G16" s="36">
        <v>25773.019970000001</v>
      </c>
      <c r="H16" s="36">
        <v>24347.69008</v>
      </c>
      <c r="I16" s="36">
        <v>33346.450129999997</v>
      </c>
      <c r="J16" s="36">
        <v>35114.810169999997</v>
      </c>
      <c r="K16" s="36">
        <v>63888.75</v>
      </c>
      <c r="L16" s="36">
        <v>57137.230089999997</v>
      </c>
      <c r="M16" s="36">
        <v>52473.200019999997</v>
      </c>
      <c r="N16" s="36">
        <v>46198.000079999998</v>
      </c>
      <c r="O16" s="36">
        <v>89412.540110000002</v>
      </c>
      <c r="P16" s="36">
        <v>50505.849970000003</v>
      </c>
      <c r="Q16" s="36">
        <v>76377.789940000002</v>
      </c>
      <c r="R16" s="36">
        <v>60690.880120000002</v>
      </c>
      <c r="S16" s="36">
        <v>69256.38996</v>
      </c>
      <c r="T16" s="36">
        <v>72357.249859999996</v>
      </c>
      <c r="U16" s="36">
        <v>71702.769679999998</v>
      </c>
      <c r="V16" s="36">
        <v>71565.48</v>
      </c>
      <c r="W16" s="36">
        <v>55082.820019999999</v>
      </c>
      <c r="X16" s="36">
        <v>61035.879950000002</v>
      </c>
      <c r="Y16" s="36"/>
      <c r="Z16" s="36">
        <v>1036988.6800618998</v>
      </c>
    </row>
    <row r="17" spans="1:26" ht="18.75" x14ac:dyDescent="0.3">
      <c r="A17" s="35" t="s">
        <v>99</v>
      </c>
      <c r="B17" s="36"/>
      <c r="C17" s="36"/>
      <c r="D17" s="36"/>
      <c r="E17" s="36"/>
      <c r="F17" s="36">
        <v>414.6600037</v>
      </c>
      <c r="G17" s="36">
        <v>2123.4000080000001</v>
      </c>
      <c r="H17" s="36">
        <v>2411.1000060000001</v>
      </c>
      <c r="I17" s="36">
        <v>5293.8700429999999</v>
      </c>
      <c r="J17" s="36">
        <v>3056.1900099999998</v>
      </c>
      <c r="K17" s="36">
        <v>4563.850058</v>
      </c>
      <c r="L17" s="36">
        <v>4000.1900220000002</v>
      </c>
      <c r="M17" s="36">
        <v>4592.3400039999997</v>
      </c>
      <c r="N17" s="36">
        <v>3619.8000080000002</v>
      </c>
      <c r="O17" s="36">
        <v>5355.3900599999997</v>
      </c>
      <c r="P17" s="36">
        <v>2257.8000029999998</v>
      </c>
      <c r="Q17" s="36">
        <v>3020.1600250000001</v>
      </c>
      <c r="R17" s="36">
        <v>3012.7600400000001</v>
      </c>
      <c r="S17" s="36">
        <v>2522.3800350000001</v>
      </c>
      <c r="T17" s="36">
        <v>1939.4000209999999</v>
      </c>
      <c r="U17" s="36">
        <v>2776.6000210000002</v>
      </c>
      <c r="V17" s="36">
        <v>2386.4900130000001</v>
      </c>
      <c r="W17" s="36">
        <v>2984.3800350000001</v>
      </c>
      <c r="X17" s="36">
        <v>2241.2800219999999</v>
      </c>
      <c r="Y17" s="36"/>
      <c r="Z17" s="36">
        <v>58572.040437699994</v>
      </c>
    </row>
    <row r="18" spans="1:26" ht="18.75" x14ac:dyDescent="0.3">
      <c r="A18" s="35" t="s">
        <v>90</v>
      </c>
      <c r="B18" s="36"/>
      <c r="C18" s="36"/>
      <c r="D18" s="36"/>
      <c r="E18" s="36">
        <v>72.800001140000006</v>
      </c>
      <c r="F18" s="36"/>
      <c r="G18" s="36">
        <v>342.88000299999999</v>
      </c>
      <c r="H18" s="36">
        <v>12.899999619999999</v>
      </c>
      <c r="I18" s="36"/>
      <c r="J18" s="36">
        <v>12.899999619999999</v>
      </c>
      <c r="K18" s="36">
        <v>12.899999619999999</v>
      </c>
      <c r="L18" s="36">
        <v>38.699998860000001</v>
      </c>
      <c r="M18" s="36">
        <v>12.899999619999999</v>
      </c>
      <c r="N18" s="36">
        <v>64.499998090000005</v>
      </c>
      <c r="O18" s="36">
        <v>38.699998860000001</v>
      </c>
      <c r="P18" s="36"/>
      <c r="Q18" s="36"/>
      <c r="R18" s="36">
        <v>38.699998860000001</v>
      </c>
      <c r="S18" s="36">
        <v>34.990001679999999</v>
      </c>
      <c r="T18" s="36">
        <v>12.899999619999999</v>
      </c>
      <c r="U18" s="36"/>
      <c r="V18" s="36">
        <v>25.799999239999998</v>
      </c>
      <c r="W18" s="36">
        <v>38.699998860000001</v>
      </c>
      <c r="X18" s="36"/>
      <c r="Y18" s="36"/>
      <c r="Z18" s="36">
        <v>760.2699966900002</v>
      </c>
    </row>
    <row r="19" spans="1:26" ht="18.75" x14ac:dyDescent="0.3">
      <c r="A19" s="35" t="s">
        <v>97</v>
      </c>
      <c r="B19" s="36"/>
      <c r="C19" s="36"/>
      <c r="D19" s="36"/>
      <c r="E19" s="36"/>
      <c r="F19" s="36">
        <v>695.59997559999999</v>
      </c>
      <c r="G19" s="36">
        <v>591.96000670000001</v>
      </c>
      <c r="H19" s="36">
        <v>1602.689957</v>
      </c>
      <c r="I19" s="36">
        <v>1620.4999749999999</v>
      </c>
      <c r="J19" s="36">
        <v>1992.299984</v>
      </c>
      <c r="K19" s="36">
        <v>93.599998470000003</v>
      </c>
      <c r="L19" s="36">
        <v>124.8000031</v>
      </c>
      <c r="M19" s="36">
        <v>1357.8099990000001</v>
      </c>
      <c r="N19" s="36">
        <v>4201.1700330000003</v>
      </c>
      <c r="O19" s="36">
        <v>4936.7199989999999</v>
      </c>
      <c r="P19" s="36">
        <v>6735.3000300000003</v>
      </c>
      <c r="Q19" s="36">
        <v>5827.5799710000001</v>
      </c>
      <c r="R19" s="36">
        <v>5303.9000230000001</v>
      </c>
      <c r="S19" s="36">
        <v>5639.5099769999997</v>
      </c>
      <c r="T19" s="36">
        <v>9318.4999769999995</v>
      </c>
      <c r="U19" s="36">
        <v>10155.27995</v>
      </c>
      <c r="V19" s="36">
        <v>9094.5899850000005</v>
      </c>
      <c r="W19" s="36">
        <v>6780.1499750000003</v>
      </c>
      <c r="X19" s="36">
        <v>7016.1599919999999</v>
      </c>
      <c r="Y19" s="36"/>
      <c r="Z19" s="36">
        <v>83088.119810870005</v>
      </c>
    </row>
    <row r="20" spans="1:26" ht="18.75" x14ac:dyDescent="0.3">
      <c r="A20" s="35" t="s">
        <v>122</v>
      </c>
      <c r="B20" s="36"/>
      <c r="C20" s="36"/>
      <c r="D20" s="36"/>
      <c r="E20" s="36"/>
      <c r="F20" s="36"/>
      <c r="G20" s="36"/>
      <c r="H20" s="36"/>
      <c r="I20" s="36"/>
      <c r="J20" s="36"/>
      <c r="K20" s="36">
        <v>225</v>
      </c>
      <c r="L20" s="36">
        <v>135</v>
      </c>
      <c r="M20" s="36"/>
      <c r="N20" s="36">
        <v>45</v>
      </c>
      <c r="O20" s="36">
        <v>195</v>
      </c>
      <c r="P20" s="36">
        <v>65</v>
      </c>
      <c r="Q20" s="36"/>
      <c r="R20" s="36"/>
      <c r="S20" s="36"/>
      <c r="T20" s="36">
        <v>65</v>
      </c>
      <c r="U20" s="36"/>
      <c r="V20" s="36"/>
      <c r="W20" s="36"/>
      <c r="X20" s="36"/>
      <c r="Y20" s="36"/>
      <c r="Z20" s="36">
        <v>730</v>
      </c>
    </row>
    <row r="21" spans="1:26" ht="18.75" x14ac:dyDescent="0.3">
      <c r="A21" s="35" t="s">
        <v>102</v>
      </c>
      <c r="B21" s="36"/>
      <c r="C21" s="36"/>
      <c r="D21" s="36"/>
      <c r="E21" s="36"/>
      <c r="F21" s="36">
        <v>59</v>
      </c>
      <c r="G21" s="36"/>
      <c r="H21" s="36">
        <v>118</v>
      </c>
      <c r="I21" s="36">
        <v>59</v>
      </c>
      <c r="J21" s="36">
        <v>79</v>
      </c>
      <c r="K21" s="36"/>
      <c r="L21" s="36"/>
      <c r="M21" s="36">
        <v>69</v>
      </c>
      <c r="N21" s="36">
        <v>69</v>
      </c>
      <c r="O21" s="36">
        <v>242</v>
      </c>
      <c r="P21" s="36"/>
      <c r="Q21" s="36">
        <v>199.97999569999999</v>
      </c>
      <c r="R21" s="36">
        <v>227.98999789999999</v>
      </c>
      <c r="S21" s="36">
        <v>711.78998950000005</v>
      </c>
      <c r="T21" s="36">
        <v>521.73999790000005</v>
      </c>
      <c r="U21" s="36">
        <v>2277.2899779999998</v>
      </c>
      <c r="V21" s="36">
        <v>435.8500032</v>
      </c>
      <c r="W21" s="36">
        <v>1178.5399910000001</v>
      </c>
      <c r="X21" s="36">
        <v>685.28000450000002</v>
      </c>
      <c r="Y21" s="36"/>
      <c r="Z21" s="36">
        <v>6933.4599577000008</v>
      </c>
    </row>
    <row r="22" spans="1:26" ht="18.75" x14ac:dyDescent="0.3">
      <c r="A22" s="35" t="s">
        <v>54</v>
      </c>
      <c r="B22" s="36"/>
      <c r="C22" s="36">
        <v>1707.089935</v>
      </c>
      <c r="D22" s="36"/>
      <c r="E22" s="36">
        <v>663.69998169999997</v>
      </c>
      <c r="F22" s="36">
        <v>3095.2999570000002</v>
      </c>
      <c r="G22" s="36">
        <v>4103.8099819999998</v>
      </c>
      <c r="H22" s="36">
        <v>2582.2300110000001</v>
      </c>
      <c r="I22" s="36">
        <v>1016.769999</v>
      </c>
      <c r="J22" s="36">
        <v>2084.4800190000001</v>
      </c>
      <c r="K22" s="36">
        <v>1396.0999890000001</v>
      </c>
      <c r="L22" s="36">
        <v>4271.7299190000003</v>
      </c>
      <c r="M22" s="36">
        <v>1731.04998</v>
      </c>
      <c r="N22" s="36">
        <v>2562.4199829999998</v>
      </c>
      <c r="O22" s="36">
        <v>4076.619995</v>
      </c>
      <c r="P22" s="36">
        <v>668.79998780000005</v>
      </c>
      <c r="Q22" s="36">
        <v>4674.7399770000002</v>
      </c>
      <c r="R22" s="36">
        <v>2626.8900130000002</v>
      </c>
      <c r="S22" s="36">
        <v>2667.5799940000002</v>
      </c>
      <c r="T22" s="36">
        <v>3261.789976</v>
      </c>
      <c r="U22" s="36">
        <v>2051.1999890000002</v>
      </c>
      <c r="V22" s="36">
        <v>3567.8999979999999</v>
      </c>
      <c r="W22" s="36">
        <v>2657.8600120000001</v>
      </c>
      <c r="X22" s="36">
        <v>3556.9000169999999</v>
      </c>
      <c r="Y22" s="36"/>
      <c r="Z22" s="36">
        <v>55024.959714500008</v>
      </c>
    </row>
    <row r="23" spans="1:26" ht="18.75" x14ac:dyDescent="0.3">
      <c r="A23" s="35" t="s">
        <v>50</v>
      </c>
      <c r="B23" s="36"/>
      <c r="C23" s="36">
        <v>3882.2599909999999</v>
      </c>
      <c r="D23" s="36"/>
      <c r="E23" s="36">
        <v>5954.2000099999996</v>
      </c>
      <c r="F23" s="36">
        <v>4294.7699549999998</v>
      </c>
      <c r="G23" s="36">
        <v>10768.84001</v>
      </c>
      <c r="H23" s="36">
        <v>3772.8800299999998</v>
      </c>
      <c r="I23" s="36">
        <v>2507.2000200000002</v>
      </c>
      <c r="J23" s="36">
        <v>5389.02009</v>
      </c>
      <c r="K23" s="36">
        <v>5680.1600040000003</v>
      </c>
      <c r="L23" s="36">
        <v>8824.2499449999996</v>
      </c>
      <c r="M23" s="36">
        <v>8910.3699799999995</v>
      </c>
      <c r="N23" s="36">
        <v>10608.869979999999</v>
      </c>
      <c r="O23" s="36">
        <v>12608.87997</v>
      </c>
      <c r="P23" s="36">
        <v>9075.0099950000003</v>
      </c>
      <c r="Q23" s="36">
        <v>8200.9800149999992</v>
      </c>
      <c r="R23" s="36">
        <v>11978.73007</v>
      </c>
      <c r="S23" s="36">
        <v>11858.72035</v>
      </c>
      <c r="T23" s="36">
        <v>7239.4000079999996</v>
      </c>
      <c r="U23" s="36">
        <v>5664.07</v>
      </c>
      <c r="V23" s="36">
        <v>6903.01</v>
      </c>
      <c r="W23" s="36">
        <v>8519.1100179999994</v>
      </c>
      <c r="X23" s="36">
        <v>4824.4899640000003</v>
      </c>
      <c r="Y23" s="36"/>
      <c r="Z23" s="36">
        <v>157465.22040500003</v>
      </c>
    </row>
    <row r="24" spans="1:26" ht="18.75" x14ac:dyDescent="0.3">
      <c r="A24" s="35" t="s">
        <v>85</v>
      </c>
      <c r="B24" s="36"/>
      <c r="C24" s="36"/>
      <c r="D24" s="36"/>
      <c r="E24" s="36">
        <v>310</v>
      </c>
      <c r="F24" s="36">
        <v>336.78998949999999</v>
      </c>
      <c r="G24" s="36">
        <v>773.40000150000003</v>
      </c>
      <c r="H24" s="36"/>
      <c r="I24" s="36">
        <v>99.989997860000003</v>
      </c>
      <c r="J24" s="36">
        <v>376.36999509999998</v>
      </c>
      <c r="K24" s="36">
        <v>549.43999099999996</v>
      </c>
      <c r="L24" s="36">
        <v>1180.000004</v>
      </c>
      <c r="M24" s="36">
        <v>1289.1999860000001</v>
      </c>
      <c r="N24" s="36">
        <v>2576.180014</v>
      </c>
      <c r="O24" s="36">
        <v>6993.5600260000001</v>
      </c>
      <c r="P24" s="36">
        <v>5830.3499789999996</v>
      </c>
      <c r="Q24" s="36">
        <v>9664.1800270000003</v>
      </c>
      <c r="R24" s="36">
        <v>9003.9700150000008</v>
      </c>
      <c r="S24" s="36">
        <v>10549.379989999999</v>
      </c>
      <c r="T24" s="36">
        <v>13293.829970000001</v>
      </c>
      <c r="U24" s="36">
        <v>20748.599890000001</v>
      </c>
      <c r="V24" s="36">
        <v>22947.719929999999</v>
      </c>
      <c r="W24" s="36">
        <v>15237.47006</v>
      </c>
      <c r="X24" s="36">
        <v>22917.16001</v>
      </c>
      <c r="Y24" s="36"/>
      <c r="Z24" s="36">
        <v>144677.58987595999</v>
      </c>
    </row>
    <row r="25" spans="1:26" ht="18.75" x14ac:dyDescent="0.3">
      <c r="A25" s="35" t="s">
        <v>110</v>
      </c>
      <c r="B25" s="36"/>
      <c r="C25" s="36"/>
      <c r="D25" s="36"/>
      <c r="E25" s="36"/>
      <c r="F25" s="36"/>
      <c r="G25" s="36"/>
      <c r="H25" s="36">
        <v>729</v>
      </c>
      <c r="I25" s="36">
        <v>803.90000150000003</v>
      </c>
      <c r="J25" s="36"/>
      <c r="K25" s="36"/>
      <c r="L25" s="36"/>
      <c r="M25" s="36">
        <v>916.88999369999999</v>
      </c>
      <c r="N25" s="36">
        <v>1018.599993</v>
      </c>
      <c r="O25" s="36">
        <v>269.4999924</v>
      </c>
      <c r="P25" s="36">
        <v>349.399992</v>
      </c>
      <c r="Q25" s="36">
        <v>532.29998780000005</v>
      </c>
      <c r="R25" s="36">
        <v>1318.199991</v>
      </c>
      <c r="S25" s="36">
        <v>931.29999729999997</v>
      </c>
      <c r="T25" s="36">
        <v>1332.9900150000001</v>
      </c>
      <c r="U25" s="36">
        <v>417.90000149999997</v>
      </c>
      <c r="V25" s="36">
        <v>527</v>
      </c>
      <c r="W25" s="36">
        <v>5501.1999969999997</v>
      </c>
      <c r="X25" s="36">
        <v>1255.7700170000001</v>
      </c>
      <c r="Y25" s="36"/>
      <c r="Z25" s="36">
        <v>15903.949979200001</v>
      </c>
    </row>
    <row r="26" spans="1:26" ht="18.75" x14ac:dyDescent="0.3">
      <c r="A26" s="35" t="s">
        <v>121</v>
      </c>
      <c r="B26" s="36"/>
      <c r="C26" s="36"/>
      <c r="D26" s="36"/>
      <c r="E26" s="36"/>
      <c r="F26" s="36"/>
      <c r="G26" s="36"/>
      <c r="H26" s="36"/>
      <c r="I26" s="36"/>
      <c r="J26" s="36"/>
      <c r="K26" s="36">
        <v>360</v>
      </c>
      <c r="L26" s="36">
        <v>589</v>
      </c>
      <c r="M26" s="36">
        <v>229</v>
      </c>
      <c r="N26" s="36">
        <v>500</v>
      </c>
      <c r="O26" s="36">
        <v>2199.48</v>
      </c>
      <c r="P26" s="36">
        <v>176</v>
      </c>
      <c r="Q26" s="36">
        <v>2392.990002</v>
      </c>
      <c r="R26" s="36">
        <v>1610.8000050000001</v>
      </c>
      <c r="S26" s="36">
        <v>2536.7000050000001</v>
      </c>
      <c r="T26" s="36">
        <v>4962.6700099999998</v>
      </c>
      <c r="U26" s="36">
        <v>5477.8100489999997</v>
      </c>
      <c r="V26" s="36">
        <v>4583.4100420000004</v>
      </c>
      <c r="W26" s="36">
        <v>7249.6100120000001</v>
      </c>
      <c r="X26" s="36">
        <v>8212.5300200000001</v>
      </c>
      <c r="Y26" s="36"/>
      <c r="Z26" s="36">
        <v>41080.000144999998</v>
      </c>
    </row>
    <row r="27" spans="1:26" ht="18.75" x14ac:dyDescent="0.3">
      <c r="A27" s="35" t="s">
        <v>98</v>
      </c>
      <c r="B27" s="36"/>
      <c r="C27" s="36"/>
      <c r="D27" s="36"/>
      <c r="E27" s="36"/>
      <c r="F27" s="36">
        <v>579.97998050000001</v>
      </c>
      <c r="G27" s="36"/>
      <c r="H27" s="36">
        <v>1490.2100559999999</v>
      </c>
      <c r="I27" s="36">
        <v>1577.240049</v>
      </c>
      <c r="J27" s="36">
        <v>434.68999860000002</v>
      </c>
      <c r="K27" s="36">
        <v>347.58000559999999</v>
      </c>
      <c r="L27" s="36">
        <v>1286.190006</v>
      </c>
      <c r="M27" s="36">
        <v>297.5000076</v>
      </c>
      <c r="N27" s="36">
        <v>746.90000339999995</v>
      </c>
      <c r="O27" s="36">
        <v>1218.500004</v>
      </c>
      <c r="P27" s="36">
        <v>928.90000339999995</v>
      </c>
      <c r="Q27" s="36">
        <v>3927.9800009999999</v>
      </c>
      <c r="R27" s="36">
        <v>1538.2499789999999</v>
      </c>
      <c r="S27" s="36">
        <v>2497.2299710000002</v>
      </c>
      <c r="T27" s="36">
        <v>1326.7900010000001</v>
      </c>
      <c r="U27" s="36">
        <v>1073.2800050000001</v>
      </c>
      <c r="V27" s="36">
        <v>799.44000430000006</v>
      </c>
      <c r="W27" s="36">
        <v>1956.4700089999999</v>
      </c>
      <c r="X27" s="36">
        <v>3688.759998</v>
      </c>
      <c r="Y27" s="36"/>
      <c r="Z27" s="36">
        <v>25715.890082400001</v>
      </c>
    </row>
    <row r="28" spans="1:26" ht="18.75" x14ac:dyDescent="0.3">
      <c r="A28" s="35" t="s">
        <v>100</v>
      </c>
      <c r="B28" s="36"/>
      <c r="C28" s="36"/>
      <c r="D28" s="36"/>
      <c r="E28" s="36"/>
      <c r="F28" s="36">
        <v>379</v>
      </c>
      <c r="G28" s="36">
        <v>380</v>
      </c>
      <c r="H28" s="36"/>
      <c r="I28" s="36"/>
      <c r="J28" s="36"/>
      <c r="K28" s="36"/>
      <c r="L28" s="36">
        <v>8.8999996190000008</v>
      </c>
      <c r="M28" s="36">
        <v>1124.539984</v>
      </c>
      <c r="N28" s="36">
        <v>1668.8499810000001</v>
      </c>
      <c r="O28" s="36">
        <v>3318.5899490000002</v>
      </c>
      <c r="P28" s="36">
        <v>1384.919991</v>
      </c>
      <c r="Q28" s="36">
        <v>2228.8899970000002</v>
      </c>
      <c r="R28" s="36">
        <v>5965.7498530000003</v>
      </c>
      <c r="S28" s="36">
        <v>5374.8700349999999</v>
      </c>
      <c r="T28" s="36">
        <v>2887.26001</v>
      </c>
      <c r="U28" s="36">
        <v>7298.5099529999998</v>
      </c>
      <c r="V28" s="36">
        <v>2565.3700009999998</v>
      </c>
      <c r="W28" s="36">
        <v>1888.9499989999999</v>
      </c>
      <c r="X28" s="36">
        <v>4070.1199929999998</v>
      </c>
      <c r="Y28" s="36"/>
      <c r="Z28" s="36">
        <v>40544.519745619</v>
      </c>
    </row>
    <row r="29" spans="1:26" ht="18.75" x14ac:dyDescent="0.3">
      <c r="A29" s="35" t="s">
        <v>62</v>
      </c>
      <c r="B29" s="36"/>
      <c r="C29" s="36">
        <v>1110.999992</v>
      </c>
      <c r="D29" s="36"/>
      <c r="E29" s="36">
        <v>7784.8700280000003</v>
      </c>
      <c r="F29" s="36">
        <v>13323.600109999999</v>
      </c>
      <c r="G29" s="36">
        <v>21095.210070000001</v>
      </c>
      <c r="H29" s="36">
        <v>21822.080170000001</v>
      </c>
      <c r="I29" s="36">
        <v>33696.470150000001</v>
      </c>
      <c r="J29" s="36">
        <v>38244.500099999997</v>
      </c>
      <c r="K29" s="36">
        <v>37506.760060000001</v>
      </c>
      <c r="L29" s="36">
        <v>41720.030059999997</v>
      </c>
      <c r="M29" s="36">
        <v>38210.33988</v>
      </c>
      <c r="N29" s="36">
        <v>44910.010040000001</v>
      </c>
      <c r="O29" s="36">
        <v>56295.240510000003</v>
      </c>
      <c r="P29" s="36">
        <v>39011.540130000001</v>
      </c>
      <c r="Q29" s="36">
        <v>39739.700199999999</v>
      </c>
      <c r="R29" s="36">
        <v>31002.210289999999</v>
      </c>
      <c r="S29" s="36">
        <v>38353.22019</v>
      </c>
      <c r="T29" s="36">
        <v>35202.399980000002</v>
      </c>
      <c r="U29" s="36">
        <v>30039.110049999999</v>
      </c>
      <c r="V29" s="36">
        <v>19316.37</v>
      </c>
      <c r="W29" s="36">
        <v>30551.60974</v>
      </c>
      <c r="X29" s="36">
        <v>16354.57994</v>
      </c>
      <c r="Y29" s="36"/>
      <c r="Z29" s="36">
        <v>635290.85169000004</v>
      </c>
    </row>
    <row r="30" spans="1:26" ht="18.75" x14ac:dyDescent="0.3">
      <c r="A30" s="35" t="s">
        <v>92</v>
      </c>
      <c r="B30" s="36"/>
      <c r="C30" s="36"/>
      <c r="D30" s="36"/>
      <c r="E30" s="36">
        <v>29.799999239999998</v>
      </c>
      <c r="F30" s="36">
        <v>14.899999619999999</v>
      </c>
      <c r="G30" s="36">
        <v>1873.6999989999999</v>
      </c>
      <c r="H30" s="36">
        <v>1434.9</v>
      </c>
      <c r="I30" s="36">
        <v>89.599998470000003</v>
      </c>
      <c r="J30" s="36">
        <v>126.68999669999999</v>
      </c>
      <c r="K30" s="36">
        <v>749.69999889999997</v>
      </c>
      <c r="L30" s="36">
        <v>113.3999977</v>
      </c>
      <c r="M30" s="36">
        <v>39.799999239999998</v>
      </c>
      <c r="N30" s="36">
        <v>194.5</v>
      </c>
      <c r="O30" s="36">
        <v>79.790000919999997</v>
      </c>
      <c r="P30" s="36">
        <v>119.9000015</v>
      </c>
      <c r="Q30" s="36">
        <v>49.799999239999998</v>
      </c>
      <c r="R30" s="36">
        <v>24.899999619999999</v>
      </c>
      <c r="S30" s="36">
        <v>49.799999239999998</v>
      </c>
      <c r="T30" s="36">
        <v>92.499998090000005</v>
      </c>
      <c r="U30" s="36">
        <v>439.93999480000002</v>
      </c>
      <c r="V30" s="36">
        <v>382.88000299999999</v>
      </c>
      <c r="W30" s="36">
        <v>83.989997860000003</v>
      </c>
      <c r="X30" s="36">
        <v>8.8999996190000008</v>
      </c>
      <c r="Y30" s="36"/>
      <c r="Z30" s="36">
        <v>5999.3899827590003</v>
      </c>
    </row>
    <row r="31" spans="1:26" ht="18.75" x14ac:dyDescent="0.3">
      <c r="A31" s="35" t="s">
        <v>96</v>
      </c>
      <c r="B31" s="36"/>
      <c r="C31" s="36"/>
      <c r="D31" s="36"/>
      <c r="E31" s="36"/>
      <c r="F31" s="36">
        <v>740.90000150000003</v>
      </c>
      <c r="G31" s="36">
        <v>313.30000690000003</v>
      </c>
      <c r="H31" s="36">
        <v>499.4000092</v>
      </c>
      <c r="I31" s="36">
        <v>1912.7900119999999</v>
      </c>
      <c r="J31" s="36">
        <v>2507.1900289999999</v>
      </c>
      <c r="K31" s="36">
        <v>3671.989994</v>
      </c>
      <c r="L31" s="36">
        <v>4587.0500670000001</v>
      </c>
      <c r="M31" s="36">
        <v>1820.1900009999999</v>
      </c>
      <c r="N31" s="36">
        <v>1951.080017</v>
      </c>
      <c r="O31" s="36">
        <v>4515.9400079999996</v>
      </c>
      <c r="P31" s="36">
        <v>1331.0000239999999</v>
      </c>
      <c r="Q31" s="36">
        <v>1795.0500199999999</v>
      </c>
      <c r="R31" s="36">
        <v>5583.7400129999996</v>
      </c>
      <c r="S31" s="36">
        <v>9876.5900199999996</v>
      </c>
      <c r="T31" s="36">
        <v>15124.24999</v>
      </c>
      <c r="U31" s="36">
        <v>6149.6700060000003</v>
      </c>
      <c r="V31" s="36">
        <v>5916.3699669999996</v>
      </c>
      <c r="W31" s="36">
        <v>5290.629997</v>
      </c>
      <c r="X31" s="36">
        <v>6584.4000130000004</v>
      </c>
      <c r="Y31" s="36"/>
      <c r="Z31" s="36">
        <v>80171.530195600004</v>
      </c>
    </row>
    <row r="32" spans="1:26" ht="18.75" x14ac:dyDescent="0.3">
      <c r="A32" s="35" t="s">
        <v>79</v>
      </c>
      <c r="B32" s="36"/>
      <c r="C32" s="36"/>
      <c r="D32" s="36"/>
      <c r="E32" s="36">
        <v>2126.6799810000002</v>
      </c>
      <c r="F32" s="36">
        <v>15.989999770000001</v>
      </c>
      <c r="G32" s="36">
        <v>500.8999996</v>
      </c>
      <c r="H32" s="36">
        <v>799.79998780000005</v>
      </c>
      <c r="I32" s="36">
        <v>3093.0399929999999</v>
      </c>
      <c r="J32" s="36">
        <v>1213.8699799999999</v>
      </c>
      <c r="K32" s="36">
        <v>1033.989998</v>
      </c>
      <c r="L32" s="36">
        <v>4004.5500339999999</v>
      </c>
      <c r="M32" s="36">
        <v>1627.799988</v>
      </c>
      <c r="N32" s="36">
        <v>2803.170036</v>
      </c>
      <c r="O32" s="36">
        <v>4854.9300800000001</v>
      </c>
      <c r="P32" s="36">
        <v>1990.159981</v>
      </c>
      <c r="Q32" s="36">
        <v>8630.1000060000006</v>
      </c>
      <c r="R32" s="36">
        <v>8998.8299979999993</v>
      </c>
      <c r="S32" s="36">
        <v>5648.1999889999997</v>
      </c>
      <c r="T32" s="36">
        <v>20741.689989999999</v>
      </c>
      <c r="U32" s="36">
        <v>14441.239949999999</v>
      </c>
      <c r="V32" s="36">
        <v>8312.7199949999995</v>
      </c>
      <c r="W32" s="36">
        <v>12597.31993</v>
      </c>
      <c r="X32" s="36">
        <v>9882.7599489999993</v>
      </c>
      <c r="Y32" s="36"/>
      <c r="Z32" s="36">
        <v>113317.73986517001</v>
      </c>
    </row>
    <row r="33" spans="1:26" ht="18.75" x14ac:dyDescent="0.3">
      <c r="A33" s="35" t="s">
        <v>58</v>
      </c>
      <c r="B33" s="36"/>
      <c r="C33" s="36">
        <v>1306.989998</v>
      </c>
      <c r="D33" s="36"/>
      <c r="E33" s="36">
        <v>617</v>
      </c>
      <c r="F33" s="36">
        <v>1218.8500059999999</v>
      </c>
      <c r="G33" s="36">
        <v>3985.9999849999999</v>
      </c>
      <c r="H33" s="36">
        <v>4822.2400440000001</v>
      </c>
      <c r="I33" s="36">
        <v>6709.1099620000005</v>
      </c>
      <c r="J33" s="36">
        <v>2100.039988</v>
      </c>
      <c r="K33" s="36">
        <v>7346.8400069999998</v>
      </c>
      <c r="L33" s="36">
        <v>2854.150032</v>
      </c>
      <c r="M33" s="36">
        <v>4338.959957</v>
      </c>
      <c r="N33" s="36">
        <v>3454.3200019999999</v>
      </c>
      <c r="O33" s="36">
        <v>10026.139950000001</v>
      </c>
      <c r="P33" s="36">
        <v>8537.5099320000008</v>
      </c>
      <c r="Q33" s="36">
        <v>15996.67992</v>
      </c>
      <c r="R33" s="36">
        <v>14780.59986</v>
      </c>
      <c r="S33" s="36">
        <v>12554.800010000001</v>
      </c>
      <c r="T33" s="36">
        <v>11022.42992</v>
      </c>
      <c r="U33" s="36">
        <v>16989.289919999999</v>
      </c>
      <c r="V33" s="36">
        <v>9664.5699449999993</v>
      </c>
      <c r="W33" s="36">
        <v>11150.749980000001</v>
      </c>
      <c r="X33" s="36">
        <v>10769.46999</v>
      </c>
      <c r="Y33" s="36"/>
      <c r="Z33" s="36">
        <v>160246.73940799999</v>
      </c>
    </row>
    <row r="34" spans="1:26" ht="18.75" x14ac:dyDescent="0.3">
      <c r="A34" s="35" t="s">
        <v>80</v>
      </c>
      <c r="B34" s="36"/>
      <c r="C34" s="36"/>
      <c r="D34" s="36"/>
      <c r="E34" s="36">
        <v>1660.7900010000001</v>
      </c>
      <c r="F34" s="36">
        <v>7251.580027</v>
      </c>
      <c r="G34" s="36">
        <v>11171.060009999999</v>
      </c>
      <c r="H34" s="36">
        <v>23253.98</v>
      </c>
      <c r="I34" s="36">
        <v>5241.4400180000002</v>
      </c>
      <c r="J34" s="36">
        <v>9698.8100009999998</v>
      </c>
      <c r="K34" s="36">
        <v>4621.3599640000002</v>
      </c>
      <c r="L34" s="36">
        <v>4297.0099980000005</v>
      </c>
      <c r="M34" s="36">
        <v>10965.62995</v>
      </c>
      <c r="N34" s="36">
        <v>6464.849964</v>
      </c>
      <c r="O34" s="36">
        <v>7826.8199770000001</v>
      </c>
      <c r="P34" s="36">
        <v>8913.7699790000006</v>
      </c>
      <c r="Q34" s="36">
        <v>15450.75999</v>
      </c>
      <c r="R34" s="36">
        <v>5245.1600550000003</v>
      </c>
      <c r="S34" s="36">
        <v>14260.150019999999</v>
      </c>
      <c r="T34" s="36">
        <v>12211.409949999999</v>
      </c>
      <c r="U34" s="36">
        <v>10620.990019999999</v>
      </c>
      <c r="V34" s="36">
        <v>16022.7</v>
      </c>
      <c r="W34" s="36">
        <v>8711.2500779999991</v>
      </c>
      <c r="X34" s="36">
        <v>6759.0599769999999</v>
      </c>
      <c r="Y34" s="36"/>
      <c r="Z34" s="36">
        <v>190648.57997900003</v>
      </c>
    </row>
    <row r="35" spans="1:26" ht="18.75" x14ac:dyDescent="0.3">
      <c r="A35" s="35" t="s">
        <v>52</v>
      </c>
      <c r="B35" s="36"/>
      <c r="C35" s="36">
        <v>3333.640003</v>
      </c>
      <c r="D35" s="36"/>
      <c r="E35" s="36">
        <v>9717.6199739999993</v>
      </c>
      <c r="F35" s="36">
        <v>16372.16001</v>
      </c>
      <c r="G35" s="36">
        <v>27001.589960000001</v>
      </c>
      <c r="H35" s="36">
        <v>24864.33</v>
      </c>
      <c r="I35" s="36">
        <v>36163.499920000002</v>
      </c>
      <c r="J35" s="36">
        <v>32898.329899999997</v>
      </c>
      <c r="K35" s="36">
        <v>38813.409970000001</v>
      </c>
      <c r="L35" s="36">
        <v>41732.26008</v>
      </c>
      <c r="M35" s="36">
        <v>50167.479959999997</v>
      </c>
      <c r="N35" s="36">
        <v>49751.449890000004</v>
      </c>
      <c r="O35" s="36">
        <v>64874.05</v>
      </c>
      <c r="P35" s="36">
        <v>59792.65999</v>
      </c>
      <c r="Q35" s="36">
        <v>91574.329920000004</v>
      </c>
      <c r="R35" s="36">
        <v>75863.949930000002</v>
      </c>
      <c r="S35" s="36">
        <v>85292.169850000006</v>
      </c>
      <c r="T35" s="36">
        <v>67528.07978</v>
      </c>
      <c r="U35" s="36">
        <v>59664.109909999999</v>
      </c>
      <c r="V35" s="36">
        <v>45851.00993</v>
      </c>
      <c r="W35" s="36">
        <v>55292.680009999996</v>
      </c>
      <c r="X35" s="36">
        <v>51500.159890000003</v>
      </c>
      <c r="Y35" s="36"/>
      <c r="Z35" s="36">
        <v>988048.96887700004</v>
      </c>
    </row>
    <row r="36" spans="1:26" ht="18.75" x14ac:dyDescent="0.3">
      <c r="A36" s="35" t="s">
        <v>65</v>
      </c>
      <c r="B36" s="36"/>
      <c r="C36" s="36">
        <v>508.30000310000003</v>
      </c>
      <c r="D36" s="36">
        <v>10.899999619999999</v>
      </c>
      <c r="E36" s="36">
        <v>1671.970016</v>
      </c>
      <c r="F36" s="36">
        <v>2374.1100200000001</v>
      </c>
      <c r="G36" s="36">
        <v>4861.1600070000004</v>
      </c>
      <c r="H36" s="36">
        <v>3219.8000200000001</v>
      </c>
      <c r="I36" s="36">
        <v>7498.6700330000003</v>
      </c>
      <c r="J36" s="36">
        <v>6831.0300159999997</v>
      </c>
      <c r="K36" s="36">
        <v>5193.1000610000001</v>
      </c>
      <c r="L36" s="36">
        <v>6617.6800480000002</v>
      </c>
      <c r="M36" s="36">
        <v>11948.21996</v>
      </c>
      <c r="N36" s="36">
        <v>7906.0600189999996</v>
      </c>
      <c r="O36" s="36">
        <v>13414.89004</v>
      </c>
      <c r="P36" s="36">
        <v>10028.460010000001</v>
      </c>
      <c r="Q36" s="36">
        <v>7931.7200080000002</v>
      </c>
      <c r="R36" s="36">
        <v>9786.6300229999997</v>
      </c>
      <c r="S36" s="36">
        <v>10261.57999</v>
      </c>
      <c r="T36" s="36">
        <v>9030.8500230000009</v>
      </c>
      <c r="U36" s="36">
        <v>11519.16</v>
      </c>
      <c r="V36" s="36">
        <v>7869.9500479999997</v>
      </c>
      <c r="W36" s="36">
        <v>6161.8700200000003</v>
      </c>
      <c r="X36" s="36">
        <v>8177.4300370000001</v>
      </c>
      <c r="Y36" s="36"/>
      <c r="Z36" s="36">
        <v>152823.54040172003</v>
      </c>
    </row>
    <row r="37" spans="1:26" ht="18.75" x14ac:dyDescent="0.3">
      <c r="A37" s="35" t="s">
        <v>74</v>
      </c>
      <c r="B37" s="36"/>
      <c r="C37" s="36">
        <v>29.989999770000001</v>
      </c>
      <c r="D37" s="36"/>
      <c r="E37" s="36">
        <v>34.900001529999997</v>
      </c>
      <c r="F37" s="36">
        <v>107.0500031</v>
      </c>
      <c r="G37" s="36">
        <v>1514.9999809999999</v>
      </c>
      <c r="H37" s="36">
        <v>1526.499998</v>
      </c>
      <c r="I37" s="36">
        <v>1669.5400030000001</v>
      </c>
      <c r="J37" s="36">
        <v>1351.1999929999999</v>
      </c>
      <c r="K37" s="36">
        <v>1423.009998</v>
      </c>
      <c r="L37" s="36">
        <v>1491.69002</v>
      </c>
      <c r="M37" s="36">
        <v>1179.6000019999999</v>
      </c>
      <c r="N37" s="36">
        <v>1860.9200040000001</v>
      </c>
      <c r="O37" s="36">
        <v>1777.700008</v>
      </c>
      <c r="P37" s="36">
        <v>1098.999996</v>
      </c>
      <c r="Q37" s="36">
        <v>666.70000270000003</v>
      </c>
      <c r="R37" s="36">
        <v>1033.6999860000001</v>
      </c>
      <c r="S37" s="36">
        <v>1252.799994</v>
      </c>
      <c r="T37" s="36">
        <v>1438.6999740000001</v>
      </c>
      <c r="U37" s="36">
        <v>1582.699989</v>
      </c>
      <c r="V37" s="36">
        <v>1230.5799979999999</v>
      </c>
      <c r="W37" s="36">
        <v>820.18998720000002</v>
      </c>
      <c r="X37" s="36">
        <v>471.29999350000003</v>
      </c>
      <c r="Y37" s="36"/>
      <c r="Z37" s="36">
        <v>23562.769931800001</v>
      </c>
    </row>
    <row r="38" spans="1:26" ht="18.75" x14ac:dyDescent="0.3">
      <c r="A38" s="35" t="s">
        <v>108</v>
      </c>
      <c r="B38" s="36"/>
      <c r="C38" s="36"/>
      <c r="D38" s="36"/>
      <c r="E38" s="36"/>
      <c r="F38" s="36"/>
      <c r="G38" s="36">
        <v>39.900001529999997</v>
      </c>
      <c r="H38" s="36">
        <v>189.78000069999999</v>
      </c>
      <c r="I38" s="36">
        <v>124.84000210000001</v>
      </c>
      <c r="J38" s="36">
        <v>495.48999980000002</v>
      </c>
      <c r="K38" s="36">
        <v>69.900001529999997</v>
      </c>
      <c r="L38" s="36">
        <v>265.7999954</v>
      </c>
      <c r="M38" s="36">
        <v>384.60000609999997</v>
      </c>
      <c r="N38" s="36">
        <v>59.900001529999997</v>
      </c>
      <c r="O38" s="36">
        <v>59.900001529999997</v>
      </c>
      <c r="P38" s="36">
        <v>59.900001529999997</v>
      </c>
      <c r="Q38" s="36">
        <v>119.8000031</v>
      </c>
      <c r="R38" s="36"/>
      <c r="S38" s="36">
        <v>89.900001529999997</v>
      </c>
      <c r="T38" s="36">
        <v>89.900001529999997</v>
      </c>
      <c r="U38" s="36"/>
      <c r="V38" s="36"/>
      <c r="W38" s="36"/>
      <c r="X38" s="36">
        <v>69.900001529999997</v>
      </c>
      <c r="Y38" s="36"/>
      <c r="Z38" s="36">
        <v>2119.5100194399997</v>
      </c>
    </row>
    <row r="39" spans="1:26" ht="18.75" x14ac:dyDescent="0.3">
      <c r="A39" s="35" t="s">
        <v>73</v>
      </c>
      <c r="B39" s="36"/>
      <c r="C39" s="36">
        <v>54.900001529999997</v>
      </c>
      <c r="D39" s="36"/>
      <c r="E39" s="36">
        <v>77.300001140000006</v>
      </c>
      <c r="F39" s="36">
        <v>457.7999954</v>
      </c>
      <c r="G39" s="36">
        <v>19.899999619999999</v>
      </c>
      <c r="H39" s="36">
        <v>64.900001529999997</v>
      </c>
      <c r="I39" s="36">
        <v>422.3999996</v>
      </c>
      <c r="J39" s="36">
        <v>154.8000011</v>
      </c>
      <c r="K39" s="36">
        <v>310.69999689999997</v>
      </c>
      <c r="L39" s="36">
        <v>188.7000027</v>
      </c>
      <c r="M39" s="36">
        <v>355.69999689999997</v>
      </c>
      <c r="N39" s="36"/>
      <c r="O39" s="36">
        <v>79.879999159999997</v>
      </c>
      <c r="P39" s="36"/>
      <c r="Q39" s="36">
        <v>161.7900028</v>
      </c>
      <c r="R39" s="36">
        <v>29.989999770000001</v>
      </c>
      <c r="S39" s="36">
        <v>119.9599991</v>
      </c>
      <c r="T39" s="36">
        <v>174.9500084</v>
      </c>
      <c r="U39" s="36"/>
      <c r="V39" s="36"/>
      <c r="W39" s="36"/>
      <c r="X39" s="36">
        <v>129.97000499999999</v>
      </c>
      <c r="Y39" s="36"/>
      <c r="Z39" s="36">
        <v>2803.6400106499996</v>
      </c>
    </row>
    <row r="40" spans="1:26" ht="18.75" x14ac:dyDescent="0.3">
      <c r="A40" s="35" t="s">
        <v>116</v>
      </c>
      <c r="B40" s="36"/>
      <c r="C40" s="36"/>
      <c r="D40" s="36"/>
      <c r="E40" s="36"/>
      <c r="F40" s="36"/>
      <c r="G40" s="36"/>
      <c r="H40" s="36"/>
      <c r="I40" s="36">
        <v>110</v>
      </c>
      <c r="J40" s="36">
        <v>110</v>
      </c>
      <c r="K40" s="36"/>
      <c r="L40" s="36">
        <v>49.900001529999997</v>
      </c>
      <c r="M40" s="36">
        <v>89.989997860000003</v>
      </c>
      <c r="N40" s="36">
        <v>39.990001679999999</v>
      </c>
      <c r="O40" s="36"/>
      <c r="P40" s="36"/>
      <c r="Q40" s="36"/>
      <c r="R40" s="36"/>
      <c r="S40" s="36">
        <v>79.980003359999998</v>
      </c>
      <c r="T40" s="36"/>
      <c r="U40" s="36"/>
      <c r="V40" s="36">
        <v>89.989997860000003</v>
      </c>
      <c r="W40" s="36"/>
      <c r="X40" s="36"/>
      <c r="Y40" s="36"/>
      <c r="Z40" s="36">
        <v>569.85000229000002</v>
      </c>
    </row>
    <row r="41" spans="1:26" ht="18.75" x14ac:dyDescent="0.3">
      <c r="A41" s="35" t="s">
        <v>75</v>
      </c>
      <c r="B41" s="36"/>
      <c r="C41" s="36">
        <v>24.899999619999999</v>
      </c>
      <c r="D41" s="36"/>
      <c r="E41" s="36">
        <v>126.9000015</v>
      </c>
      <c r="F41" s="36">
        <v>642.84999849999997</v>
      </c>
      <c r="G41" s="36">
        <v>580.79999729999997</v>
      </c>
      <c r="H41" s="36">
        <v>416.68999669999999</v>
      </c>
      <c r="I41" s="36">
        <v>608.89999390000003</v>
      </c>
      <c r="J41" s="36">
        <v>569.69001200000002</v>
      </c>
      <c r="K41" s="36">
        <v>719.98999979999996</v>
      </c>
      <c r="L41" s="36">
        <v>1205.0500199999999</v>
      </c>
      <c r="M41" s="36">
        <v>1177.5000150000001</v>
      </c>
      <c r="N41" s="36">
        <v>1041.799988</v>
      </c>
      <c r="O41" s="36">
        <v>929.98998830000005</v>
      </c>
      <c r="P41" s="36">
        <v>450.89000320000002</v>
      </c>
      <c r="Q41" s="36">
        <v>550.60000609999997</v>
      </c>
      <c r="R41" s="36">
        <v>388.08999249999999</v>
      </c>
      <c r="S41" s="36"/>
      <c r="T41" s="36">
        <v>195</v>
      </c>
      <c r="U41" s="36">
        <v>129.9900055</v>
      </c>
      <c r="V41" s="36">
        <v>447.80000310000003</v>
      </c>
      <c r="W41" s="36">
        <v>208.7000027</v>
      </c>
      <c r="X41" s="36">
        <v>381.69001009999999</v>
      </c>
      <c r="Y41" s="36"/>
      <c r="Z41" s="36">
        <v>10797.820033819995</v>
      </c>
    </row>
    <row r="42" spans="1:26" ht="18.75" x14ac:dyDescent="0.3">
      <c r="A42" s="35" t="s">
        <v>87</v>
      </c>
      <c r="B42" s="36"/>
      <c r="C42" s="36"/>
      <c r="D42" s="36"/>
      <c r="E42" s="36">
        <v>137.25</v>
      </c>
      <c r="F42" s="36">
        <v>396.96999929999998</v>
      </c>
      <c r="G42" s="36">
        <v>394.13999990000002</v>
      </c>
      <c r="H42" s="36">
        <v>98.789999960000003</v>
      </c>
      <c r="I42" s="36">
        <v>283.5000005</v>
      </c>
      <c r="J42" s="36">
        <v>3.9000000950000002</v>
      </c>
      <c r="K42" s="36">
        <v>274.80000310000003</v>
      </c>
      <c r="L42" s="36">
        <v>1111.0000150000001</v>
      </c>
      <c r="M42" s="36">
        <v>1789.70002</v>
      </c>
      <c r="N42" s="36">
        <v>187.8000011</v>
      </c>
      <c r="O42" s="36">
        <v>1221.6000059999999</v>
      </c>
      <c r="P42" s="36">
        <v>1173.1000100000001</v>
      </c>
      <c r="Q42" s="36">
        <v>754.5000076</v>
      </c>
      <c r="R42" s="36">
        <v>399.30001069999997</v>
      </c>
      <c r="S42" s="36">
        <v>289.40000529999998</v>
      </c>
      <c r="T42" s="36">
        <v>359.4000092</v>
      </c>
      <c r="U42" s="36">
        <v>207.4000063</v>
      </c>
      <c r="V42" s="36">
        <v>129.3000035</v>
      </c>
      <c r="W42" s="36">
        <v>109.8000031</v>
      </c>
      <c r="X42" s="36">
        <v>219.9000015</v>
      </c>
      <c r="Y42" s="36"/>
      <c r="Z42" s="36">
        <v>9541.5501021550008</v>
      </c>
    </row>
    <row r="43" spans="1:26" ht="18.75" x14ac:dyDescent="0.3">
      <c r="A43" s="35" t="s">
        <v>57</v>
      </c>
      <c r="B43" s="36"/>
      <c r="C43" s="36">
        <v>1359.879997</v>
      </c>
      <c r="D43" s="36"/>
      <c r="E43" s="36">
        <v>8152.7500289999998</v>
      </c>
      <c r="F43" s="36">
        <v>13144.609990000001</v>
      </c>
      <c r="G43" s="36">
        <v>23747.150010000001</v>
      </c>
      <c r="H43" s="36">
        <v>20809.279979999999</v>
      </c>
      <c r="I43" s="36">
        <v>20693.459989999999</v>
      </c>
      <c r="J43" s="36">
        <v>15851.16999</v>
      </c>
      <c r="K43" s="36">
        <v>20067.050019999999</v>
      </c>
      <c r="L43" s="36">
        <v>24269.400170000001</v>
      </c>
      <c r="M43" s="36">
        <v>22507.230169999999</v>
      </c>
      <c r="N43" s="36">
        <v>25978.74022</v>
      </c>
      <c r="O43" s="36">
        <v>45972.180209999999</v>
      </c>
      <c r="P43" s="36">
        <v>27689.690070000001</v>
      </c>
      <c r="Q43" s="36">
        <v>27037.94023</v>
      </c>
      <c r="R43" s="36">
        <v>26838.03026</v>
      </c>
      <c r="S43" s="36">
        <v>27612.250209999998</v>
      </c>
      <c r="T43" s="36">
        <v>35037.640180000002</v>
      </c>
      <c r="U43" s="36">
        <v>37863.180209999999</v>
      </c>
      <c r="V43" s="36">
        <v>18018.710029999998</v>
      </c>
      <c r="W43" s="36">
        <v>26173.780040000001</v>
      </c>
      <c r="X43" s="36">
        <v>16432.340029999999</v>
      </c>
      <c r="Y43" s="36"/>
      <c r="Z43" s="36">
        <v>485256.46203599998</v>
      </c>
    </row>
    <row r="44" spans="1:26" ht="18.75" x14ac:dyDescent="0.3">
      <c r="A44" s="35" t="s">
        <v>126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>
        <v>187.8000011</v>
      </c>
      <c r="P44" s="36">
        <v>82.700000759999995</v>
      </c>
      <c r="Q44" s="36">
        <v>284.6000042</v>
      </c>
      <c r="R44" s="36">
        <v>134.48000139999999</v>
      </c>
      <c r="S44" s="36">
        <v>89.66999817</v>
      </c>
      <c r="T44" s="36">
        <v>158.4000015</v>
      </c>
      <c r="U44" s="36">
        <v>16.399999619999999</v>
      </c>
      <c r="V44" s="36">
        <v>108</v>
      </c>
      <c r="W44" s="36">
        <v>47.989999769999997</v>
      </c>
      <c r="X44" s="36"/>
      <c r="Y44" s="36"/>
      <c r="Z44" s="36">
        <v>1110.0400065199999</v>
      </c>
    </row>
    <row r="45" spans="1:26" ht="18.75" x14ac:dyDescent="0.3">
      <c r="A45" s="35" t="s">
        <v>70</v>
      </c>
      <c r="B45" s="36"/>
      <c r="C45" s="36">
        <v>134.8999939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>
        <v>76</v>
      </c>
      <c r="Q45" s="36">
        <v>125</v>
      </c>
      <c r="R45" s="36">
        <v>100</v>
      </c>
      <c r="S45" s="36">
        <v>163</v>
      </c>
      <c r="T45" s="36">
        <v>149</v>
      </c>
      <c r="U45" s="36">
        <v>117</v>
      </c>
      <c r="V45" s="36">
        <v>321</v>
      </c>
      <c r="W45" s="36">
        <v>149.7999992</v>
      </c>
      <c r="X45" s="36">
        <v>231.88999939999999</v>
      </c>
      <c r="Y45" s="36"/>
      <c r="Z45" s="36">
        <v>1567.5899925000001</v>
      </c>
    </row>
    <row r="46" spans="1:26" ht="18.75" x14ac:dyDescent="0.3">
      <c r="A46" s="35" t="s">
        <v>67</v>
      </c>
      <c r="B46" s="36"/>
      <c r="C46" s="36">
        <v>359.60000609999997</v>
      </c>
      <c r="D46" s="36"/>
      <c r="E46" s="36"/>
      <c r="F46" s="36">
        <v>119</v>
      </c>
      <c r="G46" s="36">
        <v>238</v>
      </c>
      <c r="H46" s="36"/>
      <c r="I46" s="36">
        <v>519.79998780000005</v>
      </c>
      <c r="J46" s="36">
        <v>276.97000120000001</v>
      </c>
      <c r="K46" s="36">
        <v>245.9599991</v>
      </c>
      <c r="L46" s="36">
        <v>956.90000150000003</v>
      </c>
      <c r="M46" s="36">
        <v>219.97999569999999</v>
      </c>
      <c r="N46" s="36">
        <v>2256.689993</v>
      </c>
      <c r="O46" s="36">
        <v>2074.7699929999999</v>
      </c>
      <c r="P46" s="36">
        <v>1828.5</v>
      </c>
      <c r="Q46" s="36">
        <v>3662.0000460000001</v>
      </c>
      <c r="R46" s="36">
        <v>4735.5900190000002</v>
      </c>
      <c r="S46" s="36">
        <v>2922.4500010000002</v>
      </c>
      <c r="T46" s="36">
        <v>5690.610001</v>
      </c>
      <c r="U46" s="36">
        <v>3890.989998</v>
      </c>
      <c r="V46" s="36">
        <v>2609.8999939999999</v>
      </c>
      <c r="W46" s="36">
        <v>4697.2099989999997</v>
      </c>
      <c r="X46" s="36">
        <v>2364.6899950000002</v>
      </c>
      <c r="Y46" s="36"/>
      <c r="Z46" s="36">
        <v>39669.610030400007</v>
      </c>
    </row>
    <row r="47" spans="1:26" ht="18.75" x14ac:dyDescent="0.3">
      <c r="A47" s="35" t="s">
        <v>56</v>
      </c>
      <c r="B47" s="36"/>
      <c r="C47" s="36">
        <v>1399.320005</v>
      </c>
      <c r="D47" s="36"/>
      <c r="E47" s="36">
        <v>3924.1399860000001</v>
      </c>
      <c r="F47" s="36">
        <v>11972.589980000001</v>
      </c>
      <c r="G47" s="36">
        <v>28624.599569999998</v>
      </c>
      <c r="H47" s="36">
        <v>20691.060020000001</v>
      </c>
      <c r="I47" s="36">
        <v>45634.779869999998</v>
      </c>
      <c r="J47" s="36">
        <v>37007.079870000001</v>
      </c>
      <c r="K47" s="36">
        <v>38708.999920000002</v>
      </c>
      <c r="L47" s="36">
        <v>35025.72</v>
      </c>
      <c r="M47" s="36">
        <v>28930.980019999999</v>
      </c>
      <c r="N47" s="36">
        <v>44022.089979999997</v>
      </c>
      <c r="O47" s="36">
        <v>72656.000029999996</v>
      </c>
      <c r="P47" s="36">
        <v>37880.650159999997</v>
      </c>
      <c r="Q47" s="36">
        <v>83257.449930000002</v>
      </c>
      <c r="R47" s="36">
        <v>100855.2298</v>
      </c>
      <c r="S47" s="36">
        <v>85673.529550000007</v>
      </c>
      <c r="T47" s="36">
        <v>59651.199780000003</v>
      </c>
      <c r="U47" s="36">
        <v>51515.729720000003</v>
      </c>
      <c r="V47" s="36">
        <v>42326.44973</v>
      </c>
      <c r="W47" s="36">
        <v>41902.789839999998</v>
      </c>
      <c r="X47" s="36">
        <v>40293.92974</v>
      </c>
      <c r="Y47" s="36"/>
      <c r="Z47" s="36">
        <v>911954.31750100013</v>
      </c>
    </row>
    <row r="48" spans="1:26" ht="18.75" x14ac:dyDescent="0.3">
      <c r="A48" s="35" t="s">
        <v>84</v>
      </c>
      <c r="B48" s="36"/>
      <c r="C48" s="36"/>
      <c r="D48" s="36"/>
      <c r="E48" s="36">
        <v>339.73999020000002</v>
      </c>
      <c r="F48" s="36">
        <v>2221.2800050000001</v>
      </c>
      <c r="G48" s="36">
        <v>1667.3299930000001</v>
      </c>
      <c r="H48" s="36">
        <v>3818.4299209999999</v>
      </c>
      <c r="I48" s="36">
        <v>10019.429899999999</v>
      </c>
      <c r="J48" s="36">
        <v>4993.0499710000004</v>
      </c>
      <c r="K48" s="36">
        <v>8411.5899809999992</v>
      </c>
      <c r="L48" s="36">
        <v>7185.549986</v>
      </c>
      <c r="M48" s="36">
        <v>9034.9699760000003</v>
      </c>
      <c r="N48" s="36">
        <v>6859.1600129999997</v>
      </c>
      <c r="O48" s="36">
        <v>16509.900010000001</v>
      </c>
      <c r="P48" s="36">
        <v>10823.49999</v>
      </c>
      <c r="Q48" s="36">
        <v>15405.58005</v>
      </c>
      <c r="R48" s="36">
        <v>9015.7299590000002</v>
      </c>
      <c r="S48" s="36">
        <v>10822.200070000001</v>
      </c>
      <c r="T48" s="36">
        <v>19375.310030000001</v>
      </c>
      <c r="U48" s="36">
        <v>18757.070019999999</v>
      </c>
      <c r="V48" s="36">
        <v>16177.920050000001</v>
      </c>
      <c r="W48" s="36">
        <v>9541.7999940000009</v>
      </c>
      <c r="X48" s="36">
        <v>10519.34014</v>
      </c>
      <c r="Y48" s="36"/>
      <c r="Z48" s="36">
        <v>191498.88004920003</v>
      </c>
    </row>
    <row r="49" spans="1:26" ht="18.75" x14ac:dyDescent="0.3">
      <c r="A49" s="35" t="s">
        <v>114</v>
      </c>
      <c r="B49" s="36"/>
      <c r="C49" s="36"/>
      <c r="D49" s="36"/>
      <c r="E49" s="36"/>
      <c r="F49" s="36"/>
      <c r="G49" s="36"/>
      <c r="H49" s="36">
        <v>24</v>
      </c>
      <c r="I49" s="36">
        <v>193</v>
      </c>
      <c r="J49" s="36"/>
      <c r="K49" s="36">
        <v>469.98999789999999</v>
      </c>
      <c r="L49" s="36">
        <v>313</v>
      </c>
      <c r="M49" s="36"/>
      <c r="N49" s="36">
        <v>137</v>
      </c>
      <c r="O49" s="36">
        <v>137</v>
      </c>
      <c r="P49" s="36"/>
      <c r="Q49" s="36">
        <v>112</v>
      </c>
      <c r="R49" s="36"/>
      <c r="S49" s="36">
        <v>389</v>
      </c>
      <c r="T49" s="36">
        <v>280</v>
      </c>
      <c r="U49" s="36"/>
      <c r="V49" s="36"/>
      <c r="W49" s="36"/>
      <c r="X49" s="36"/>
      <c r="Y49" s="36"/>
      <c r="Z49" s="36">
        <v>2054.9899979000002</v>
      </c>
    </row>
    <row r="50" spans="1:26" ht="18.75" x14ac:dyDescent="0.3">
      <c r="A50" s="35" t="s">
        <v>101</v>
      </c>
      <c r="B50" s="36"/>
      <c r="C50" s="36"/>
      <c r="D50" s="36"/>
      <c r="E50" s="36"/>
      <c r="F50" s="36">
        <v>99</v>
      </c>
      <c r="G50" s="36"/>
      <c r="H50" s="36">
        <v>19.989999770000001</v>
      </c>
      <c r="I50" s="36"/>
      <c r="J50" s="36">
        <v>99</v>
      </c>
      <c r="K50" s="36"/>
      <c r="L50" s="36">
        <v>61</v>
      </c>
      <c r="M50" s="36">
        <v>290</v>
      </c>
      <c r="N50" s="36"/>
      <c r="O50" s="36">
        <v>324</v>
      </c>
      <c r="P50" s="36">
        <v>231</v>
      </c>
      <c r="Q50" s="36">
        <v>583</v>
      </c>
      <c r="R50" s="36">
        <v>325</v>
      </c>
      <c r="S50" s="36">
        <v>259</v>
      </c>
      <c r="T50" s="36">
        <v>317.98999980000002</v>
      </c>
      <c r="U50" s="36">
        <v>410.92000009999998</v>
      </c>
      <c r="V50" s="36">
        <v>468.16999629999998</v>
      </c>
      <c r="W50" s="36">
        <v>402.77999690000001</v>
      </c>
      <c r="X50" s="36">
        <v>749</v>
      </c>
      <c r="Y50" s="36"/>
      <c r="Z50" s="36">
        <v>4639.8499928700003</v>
      </c>
    </row>
    <row r="51" spans="1:26" ht="18.75" x14ac:dyDescent="0.3">
      <c r="A51" s="35" t="s">
        <v>71</v>
      </c>
      <c r="B51" s="36"/>
      <c r="C51" s="36">
        <v>119.5</v>
      </c>
      <c r="D51" s="36"/>
      <c r="E51" s="36">
        <v>234.88999939999999</v>
      </c>
      <c r="F51" s="36">
        <v>772.7099991</v>
      </c>
      <c r="G51" s="36">
        <v>2648.9600019999998</v>
      </c>
      <c r="H51" s="36">
        <v>923.38000869999996</v>
      </c>
      <c r="I51" s="36">
        <v>1841.5699770000001</v>
      </c>
      <c r="J51" s="36">
        <v>1940.0799770000001</v>
      </c>
      <c r="K51" s="36">
        <v>1292.399977</v>
      </c>
      <c r="L51" s="36">
        <v>3214.8000200000001</v>
      </c>
      <c r="M51" s="36">
        <v>965.13999369999999</v>
      </c>
      <c r="N51" s="36">
        <v>734.50000569999997</v>
      </c>
      <c r="O51" s="36">
        <v>2664.9600070000001</v>
      </c>
      <c r="P51" s="36">
        <v>2397.1000119999999</v>
      </c>
      <c r="Q51" s="36">
        <v>2180.1500230000001</v>
      </c>
      <c r="R51" s="36">
        <v>1912.650009</v>
      </c>
      <c r="S51" s="36">
        <v>1711.9300169999999</v>
      </c>
      <c r="T51" s="36">
        <v>6295.5101130000003</v>
      </c>
      <c r="U51" s="36">
        <v>6019.0302030000003</v>
      </c>
      <c r="V51" s="36">
        <v>3345.3900549999998</v>
      </c>
      <c r="W51" s="36">
        <v>4077.4501150000001</v>
      </c>
      <c r="X51" s="36">
        <v>1564.7800179999999</v>
      </c>
      <c r="Y51" s="36"/>
      <c r="Z51" s="36">
        <v>46856.8805316</v>
      </c>
    </row>
    <row r="52" spans="1:26" ht="18.75" x14ac:dyDescent="0.3">
      <c r="A52" s="35" t="s">
        <v>68</v>
      </c>
      <c r="B52" s="36"/>
      <c r="C52" s="36">
        <v>267</v>
      </c>
      <c r="D52" s="36"/>
      <c r="E52" s="36"/>
      <c r="F52" s="36">
        <v>159</v>
      </c>
      <c r="G52" s="36">
        <v>75</v>
      </c>
      <c r="H52" s="36">
        <v>75</v>
      </c>
      <c r="I52" s="36">
        <v>262.00000569999997</v>
      </c>
      <c r="J52" s="36">
        <v>145.9000015</v>
      </c>
      <c r="K52" s="36">
        <v>528</v>
      </c>
      <c r="L52" s="36">
        <v>1196.3799919999999</v>
      </c>
      <c r="M52" s="36">
        <v>1001.350006</v>
      </c>
      <c r="N52" s="36">
        <v>880</v>
      </c>
      <c r="O52" s="36">
        <v>768.90000150000003</v>
      </c>
      <c r="P52" s="36">
        <v>670.6900177</v>
      </c>
      <c r="Q52" s="36">
        <v>1176.5500139999999</v>
      </c>
      <c r="R52" s="36">
        <v>1411.2100109999999</v>
      </c>
      <c r="S52" s="36">
        <v>913.47001550000004</v>
      </c>
      <c r="T52" s="36">
        <v>1172.1000200000001</v>
      </c>
      <c r="U52" s="36">
        <v>3055.4799950000001</v>
      </c>
      <c r="V52" s="36">
        <v>1747.43001</v>
      </c>
      <c r="W52" s="36">
        <v>2106.810015</v>
      </c>
      <c r="X52" s="36">
        <v>1483.7900030000001</v>
      </c>
      <c r="Y52" s="36"/>
      <c r="Z52" s="36">
        <v>19096.060107899997</v>
      </c>
    </row>
    <row r="53" spans="1:26" ht="18.75" x14ac:dyDescent="0.3">
      <c r="A53" s="35" t="s">
        <v>83</v>
      </c>
      <c r="B53" s="36"/>
      <c r="C53" s="36"/>
      <c r="D53" s="36"/>
      <c r="E53" s="36">
        <v>492.5</v>
      </c>
      <c r="F53" s="36">
        <v>1694.1800040000001</v>
      </c>
      <c r="G53" s="36">
        <v>5924.0100400000001</v>
      </c>
      <c r="H53" s="36">
        <v>7150.1998979999998</v>
      </c>
      <c r="I53" s="36">
        <v>12539.62003</v>
      </c>
      <c r="J53" s="36">
        <v>8232.0899509999999</v>
      </c>
      <c r="K53" s="36">
        <v>8357.6100439999991</v>
      </c>
      <c r="L53" s="36">
        <v>6833.1000439999998</v>
      </c>
      <c r="M53" s="36">
        <v>3885.379993</v>
      </c>
      <c r="N53" s="36">
        <v>6240.3399890000001</v>
      </c>
      <c r="O53" s="36">
        <v>8538.9499909999995</v>
      </c>
      <c r="P53" s="36">
        <v>6248.2100929999997</v>
      </c>
      <c r="Q53" s="36">
        <v>18738.220130000002</v>
      </c>
      <c r="R53" s="36">
        <v>6604.3500119999999</v>
      </c>
      <c r="S53" s="36">
        <v>5911.7699490000005</v>
      </c>
      <c r="T53" s="36">
        <v>8680.4799270000003</v>
      </c>
      <c r="U53" s="36">
        <v>6618.4598919999999</v>
      </c>
      <c r="V53" s="36">
        <v>5070.8799319999998</v>
      </c>
      <c r="W53" s="36">
        <v>5821.7199549999996</v>
      </c>
      <c r="X53" s="36">
        <v>6847.9099120000001</v>
      </c>
      <c r="Y53" s="36"/>
      <c r="Z53" s="36">
        <v>140429.97978600001</v>
      </c>
    </row>
    <row r="54" spans="1:26" ht="18.75" x14ac:dyDescent="0.3">
      <c r="A54" s="35" t="s">
        <v>59</v>
      </c>
      <c r="B54" s="36"/>
      <c r="C54" s="36">
        <v>1306.190002</v>
      </c>
      <c r="D54" s="36"/>
      <c r="E54" s="36">
        <v>447.0400085</v>
      </c>
      <c r="F54" s="36">
        <v>1688.219994</v>
      </c>
      <c r="G54" s="36">
        <v>1808.5899830000001</v>
      </c>
      <c r="H54" s="36">
        <v>4090.1799700000001</v>
      </c>
      <c r="I54" s="36">
        <v>2476.9799899999998</v>
      </c>
      <c r="J54" s="36">
        <v>1258.95001</v>
      </c>
      <c r="K54" s="36">
        <v>1573.379997</v>
      </c>
      <c r="L54" s="36">
        <v>1937.390011</v>
      </c>
      <c r="M54" s="36">
        <v>1147.2099929999999</v>
      </c>
      <c r="N54" s="36">
        <v>1019.540018</v>
      </c>
      <c r="O54" s="36">
        <v>1355.9800049999999</v>
      </c>
      <c r="P54" s="36">
        <v>703.25000190000003</v>
      </c>
      <c r="Q54" s="36">
        <v>818.72000500000001</v>
      </c>
      <c r="R54" s="36">
        <v>1920.9200129999999</v>
      </c>
      <c r="S54" s="36">
        <v>1548.7400050000001</v>
      </c>
      <c r="T54" s="36">
        <v>627.23001099999999</v>
      </c>
      <c r="U54" s="36">
        <v>957.45001409999998</v>
      </c>
      <c r="V54" s="36">
        <v>556.4599991</v>
      </c>
      <c r="W54" s="36">
        <v>186.78000639999999</v>
      </c>
      <c r="X54" s="36">
        <v>949.27000050000004</v>
      </c>
      <c r="Y54" s="36"/>
      <c r="Z54" s="36">
        <v>28378.470037499999</v>
      </c>
    </row>
    <row r="55" spans="1:26" ht="18.75" x14ac:dyDescent="0.3">
      <c r="A55" s="35" t="s">
        <v>112</v>
      </c>
      <c r="B55" s="36"/>
      <c r="C55" s="36"/>
      <c r="D55" s="36"/>
      <c r="E55" s="36"/>
      <c r="F55" s="36"/>
      <c r="G55" s="36"/>
      <c r="H55" s="36">
        <v>109.4000015</v>
      </c>
      <c r="I55" s="36">
        <v>595.88999179999996</v>
      </c>
      <c r="J55" s="36"/>
      <c r="K55" s="36">
        <v>109.4000015</v>
      </c>
      <c r="L55" s="36">
        <v>509.38999180000002</v>
      </c>
      <c r="M55" s="36">
        <v>86.5</v>
      </c>
      <c r="N55" s="36"/>
      <c r="O55" s="36">
        <v>334</v>
      </c>
      <c r="P55" s="36">
        <v>803.7000008</v>
      </c>
      <c r="Q55" s="36">
        <v>860.5</v>
      </c>
      <c r="R55" s="36">
        <v>389.40000149999997</v>
      </c>
      <c r="S55" s="36">
        <v>440</v>
      </c>
      <c r="T55" s="36"/>
      <c r="U55" s="36"/>
      <c r="V55" s="36"/>
      <c r="W55" s="36">
        <v>129.8999939</v>
      </c>
      <c r="X55" s="36"/>
      <c r="Y55" s="36"/>
      <c r="Z55" s="36">
        <v>4368.0799827999999</v>
      </c>
    </row>
    <row r="56" spans="1:26" ht="18.75" x14ac:dyDescent="0.3">
      <c r="A56" s="35" t="s">
        <v>88</v>
      </c>
      <c r="B56" s="36"/>
      <c r="C56" s="36"/>
      <c r="D56" s="36"/>
      <c r="E56" s="36">
        <v>110</v>
      </c>
      <c r="F56" s="36">
        <v>139.8999996</v>
      </c>
      <c r="G56" s="36">
        <v>113.98000140000001</v>
      </c>
      <c r="H56" s="36">
        <v>1033.400005</v>
      </c>
      <c r="I56" s="36">
        <v>1304.4800110000001</v>
      </c>
      <c r="J56" s="36">
        <v>374.80000310000003</v>
      </c>
      <c r="K56" s="36">
        <v>1316.499992</v>
      </c>
      <c r="L56" s="36">
        <v>1006.199989</v>
      </c>
      <c r="M56" s="36">
        <v>464.08999249999999</v>
      </c>
      <c r="N56" s="36">
        <v>3428.5999980000001</v>
      </c>
      <c r="O56" s="36">
        <v>5007.3899920000003</v>
      </c>
      <c r="P56" s="36">
        <v>4277.2999989999998</v>
      </c>
      <c r="Q56" s="36">
        <v>4838.5000289999998</v>
      </c>
      <c r="R56" s="36">
        <v>4750.1600109999999</v>
      </c>
      <c r="S56" s="36">
        <v>2842.6600039999998</v>
      </c>
      <c r="T56" s="36">
        <v>3165.469975</v>
      </c>
      <c r="U56" s="36">
        <v>2310.0899890000001</v>
      </c>
      <c r="V56" s="36">
        <v>3667.4299890000002</v>
      </c>
      <c r="W56" s="36">
        <v>3875.9500309999999</v>
      </c>
      <c r="X56" s="36">
        <v>2156.4700130000001</v>
      </c>
      <c r="Y56" s="36">
        <v>145</v>
      </c>
      <c r="Z56" s="36">
        <v>46328.3700236</v>
      </c>
    </row>
    <row r="57" spans="1:26" ht="18.75" x14ac:dyDescent="0.3">
      <c r="A57" s="35" t="s">
        <v>45</v>
      </c>
      <c r="B57" s="36">
        <v>72.890003199999995</v>
      </c>
      <c r="C57" s="36">
        <v>5807.8899940000001</v>
      </c>
      <c r="D57" s="36"/>
      <c r="E57" s="36">
        <v>13521.30998</v>
      </c>
      <c r="F57" s="36">
        <v>20986.100020000002</v>
      </c>
      <c r="G57" s="36">
        <v>23477.630099999998</v>
      </c>
      <c r="H57" s="36">
        <v>21690.419910000001</v>
      </c>
      <c r="I57" s="36">
        <v>24028.509979999999</v>
      </c>
      <c r="J57" s="36">
        <v>16943.580030000001</v>
      </c>
      <c r="K57" s="36">
        <v>24751.920020000001</v>
      </c>
      <c r="L57" s="36">
        <v>35511.730100000001</v>
      </c>
      <c r="M57" s="36">
        <v>30838.690119999999</v>
      </c>
      <c r="N57" s="36">
        <v>30227.510180000001</v>
      </c>
      <c r="O57" s="36">
        <v>63223.970359999999</v>
      </c>
      <c r="P57" s="36">
        <v>32011.75013</v>
      </c>
      <c r="Q57" s="36">
        <v>55438.18045</v>
      </c>
      <c r="R57" s="36">
        <v>38646.520259999998</v>
      </c>
      <c r="S57" s="36">
        <v>52244.040300000001</v>
      </c>
      <c r="T57" s="36">
        <v>56793.010199999997</v>
      </c>
      <c r="U57" s="36">
        <v>54260.980230000001</v>
      </c>
      <c r="V57" s="36">
        <v>42190.219929999999</v>
      </c>
      <c r="W57" s="36">
        <v>45715.489939999999</v>
      </c>
      <c r="X57" s="36">
        <v>41380.150070000003</v>
      </c>
      <c r="Y57" s="36"/>
      <c r="Z57" s="36">
        <v>729762.49230719998</v>
      </c>
    </row>
    <row r="58" spans="1:26" ht="18.75" x14ac:dyDescent="0.3">
      <c r="A58" s="35" t="s">
        <v>60</v>
      </c>
      <c r="B58" s="36"/>
      <c r="C58" s="36">
        <v>1300.8799899999999</v>
      </c>
      <c r="D58" s="36"/>
      <c r="E58" s="36">
        <v>1444.349991</v>
      </c>
      <c r="F58" s="36">
        <v>11805.98013</v>
      </c>
      <c r="G58" s="36">
        <v>11783.51009</v>
      </c>
      <c r="H58" s="36">
        <v>9411.3001170000007</v>
      </c>
      <c r="I58" s="36">
        <v>8403.4300160000003</v>
      </c>
      <c r="J58" s="36">
        <v>7279.1300279999996</v>
      </c>
      <c r="K58" s="36">
        <v>16892.61016</v>
      </c>
      <c r="L58" s="36">
        <v>9877.3601070000004</v>
      </c>
      <c r="M58" s="36">
        <v>9208.6500090000009</v>
      </c>
      <c r="N58" s="36">
        <v>17890.830300000001</v>
      </c>
      <c r="O58" s="36">
        <v>18048.200209999999</v>
      </c>
      <c r="P58" s="36">
        <v>6964.3600159999996</v>
      </c>
      <c r="Q58" s="36">
        <v>20113.410080000001</v>
      </c>
      <c r="R58" s="36">
        <v>17774.780050000001</v>
      </c>
      <c r="S58" s="36">
        <v>31301.62009</v>
      </c>
      <c r="T58" s="36">
        <v>20194.719829999998</v>
      </c>
      <c r="U58" s="36">
        <v>21005.86002</v>
      </c>
      <c r="V58" s="36">
        <v>12725.579970000001</v>
      </c>
      <c r="W58" s="36">
        <v>13775.26994</v>
      </c>
      <c r="X58" s="36">
        <v>6758.8699489999999</v>
      </c>
      <c r="Y58" s="36"/>
      <c r="Z58" s="36">
        <v>273960.70109300001</v>
      </c>
    </row>
    <row r="59" spans="1:26" ht="18.75" x14ac:dyDescent="0.3">
      <c r="A59" s="35" t="s">
        <v>89</v>
      </c>
      <c r="B59" s="36"/>
      <c r="C59" s="36"/>
      <c r="D59" s="36"/>
      <c r="E59" s="36">
        <v>73.1999979</v>
      </c>
      <c r="F59" s="36">
        <v>450</v>
      </c>
      <c r="G59" s="36"/>
      <c r="H59" s="36">
        <v>858.96000670000001</v>
      </c>
      <c r="I59" s="36">
        <v>2369.969994</v>
      </c>
      <c r="J59" s="36">
        <v>308.98999789999999</v>
      </c>
      <c r="K59" s="36">
        <v>1206.989998</v>
      </c>
      <c r="L59" s="36">
        <v>618</v>
      </c>
      <c r="M59" s="36">
        <v>709.5999832</v>
      </c>
      <c r="N59" s="36">
        <v>1193.8999940000001</v>
      </c>
      <c r="O59" s="36">
        <v>873</v>
      </c>
      <c r="P59" s="36">
        <v>185</v>
      </c>
      <c r="Q59" s="36">
        <v>914.79998780000005</v>
      </c>
      <c r="R59" s="36">
        <v>1094.7999950000001</v>
      </c>
      <c r="S59" s="36">
        <v>1071.8000030000001</v>
      </c>
      <c r="T59" s="36">
        <v>1470.9000020000001</v>
      </c>
      <c r="U59" s="36">
        <v>1484.979996</v>
      </c>
      <c r="V59" s="36">
        <v>1559.989998</v>
      </c>
      <c r="W59" s="36">
        <v>1386.8999940000001</v>
      </c>
      <c r="X59" s="36">
        <v>2197</v>
      </c>
      <c r="Y59" s="36"/>
      <c r="Z59" s="36">
        <v>20028.779947499999</v>
      </c>
    </row>
    <row r="60" spans="1:26" ht="18.75" x14ac:dyDescent="0.3">
      <c r="A60" s="35" t="s">
        <v>82</v>
      </c>
      <c r="B60" s="36"/>
      <c r="C60" s="36"/>
      <c r="D60" s="36"/>
      <c r="E60" s="36">
        <v>1241.8999940000001</v>
      </c>
      <c r="F60" s="36">
        <v>3791.6299589999999</v>
      </c>
      <c r="G60" s="36">
        <v>3324</v>
      </c>
      <c r="H60" s="36">
        <v>2073.3399869999998</v>
      </c>
      <c r="I60" s="36">
        <v>4929.4299890000002</v>
      </c>
      <c r="J60" s="36">
        <v>1713.3000030000001</v>
      </c>
      <c r="K60" s="36">
        <v>4395.119995</v>
      </c>
      <c r="L60" s="36">
        <v>2478.0700320000001</v>
      </c>
      <c r="M60" s="36">
        <v>1275.870003</v>
      </c>
      <c r="N60" s="36">
        <v>1532.7899930000001</v>
      </c>
      <c r="O60" s="36">
        <v>6212.9500850000004</v>
      </c>
      <c r="P60" s="36">
        <v>2316.0100360000001</v>
      </c>
      <c r="Q60" s="36">
        <v>2308.0999929999998</v>
      </c>
      <c r="R60" s="36">
        <v>4402.7800180000004</v>
      </c>
      <c r="S60" s="36">
        <v>3521.8699419999998</v>
      </c>
      <c r="T60" s="36">
        <v>5133.729961</v>
      </c>
      <c r="U60" s="36">
        <v>2721.080019</v>
      </c>
      <c r="V60" s="36">
        <v>3541.619968</v>
      </c>
      <c r="W60" s="36">
        <v>6779.629911</v>
      </c>
      <c r="X60" s="36">
        <v>5223.3399429999999</v>
      </c>
      <c r="Y60" s="36"/>
      <c r="Z60" s="36">
        <v>68916.559830999991</v>
      </c>
    </row>
    <row r="61" spans="1:26" ht="18.75" x14ac:dyDescent="0.3">
      <c r="A61" s="35" t="s">
        <v>93</v>
      </c>
      <c r="B61" s="36"/>
      <c r="C61" s="36"/>
      <c r="D61" s="36"/>
      <c r="E61" s="36">
        <v>19.799999239999998</v>
      </c>
      <c r="F61" s="36"/>
      <c r="G61" s="36">
        <v>27.989999770000001</v>
      </c>
      <c r="H61" s="36">
        <v>59.800001139999999</v>
      </c>
      <c r="I61" s="36"/>
      <c r="J61" s="36">
        <v>1066.9000020000001</v>
      </c>
      <c r="K61" s="36">
        <v>329</v>
      </c>
      <c r="L61" s="36"/>
      <c r="M61" s="36"/>
      <c r="N61" s="36">
        <v>54.900001529999997</v>
      </c>
      <c r="O61" s="36"/>
      <c r="P61" s="36"/>
      <c r="Q61" s="36">
        <v>24.969999309999999</v>
      </c>
      <c r="R61" s="36">
        <v>244.96999930000001</v>
      </c>
      <c r="S61" s="36">
        <v>323.96999929999998</v>
      </c>
      <c r="T61" s="36">
        <v>1696.859964</v>
      </c>
      <c r="U61" s="36">
        <v>729.00000190000003</v>
      </c>
      <c r="V61" s="36">
        <v>109.07999940000001</v>
      </c>
      <c r="W61" s="36">
        <v>849.30000110000003</v>
      </c>
      <c r="X61" s="36">
        <v>497.81000230000001</v>
      </c>
      <c r="Y61" s="36"/>
      <c r="Z61" s="36">
        <v>6034.3499702899999</v>
      </c>
    </row>
    <row r="62" spans="1:26" ht="18.75" x14ac:dyDescent="0.3">
      <c r="A62" s="35" t="s">
        <v>0</v>
      </c>
      <c r="B62" s="36"/>
      <c r="C62" s="36">
        <v>65.890001299999994</v>
      </c>
      <c r="D62" s="36"/>
      <c r="E62" s="36">
        <v>1702.639977</v>
      </c>
      <c r="F62" s="36">
        <v>9034.1000029999996</v>
      </c>
      <c r="G62" s="36">
        <v>6714.1699959999996</v>
      </c>
      <c r="H62" s="36">
        <v>8693.0900920000004</v>
      </c>
      <c r="I62" s="36">
        <v>10961.94003</v>
      </c>
      <c r="J62" s="36">
        <v>5527.7900259999997</v>
      </c>
      <c r="K62" s="36">
        <v>3124.6600279999998</v>
      </c>
      <c r="L62" s="36">
        <v>5243.4000169999999</v>
      </c>
      <c r="M62" s="36">
        <v>5904.1399899999997</v>
      </c>
      <c r="N62" s="36">
        <v>18800.479879999999</v>
      </c>
      <c r="O62" s="36">
        <v>14115.979960000001</v>
      </c>
      <c r="P62" s="36">
        <v>16224.919819999999</v>
      </c>
      <c r="Q62" s="36">
        <v>22489.44987</v>
      </c>
      <c r="R62" s="36">
        <v>12758.749900000001</v>
      </c>
      <c r="S62" s="36">
        <v>17378.109970000001</v>
      </c>
      <c r="T62" s="36">
        <v>8240.6600240000007</v>
      </c>
      <c r="U62" s="36">
        <v>3136.9400220000002</v>
      </c>
      <c r="V62" s="36">
        <v>2387.1300620000002</v>
      </c>
      <c r="W62" s="36">
        <v>4612.0000330000003</v>
      </c>
      <c r="X62" s="36">
        <v>2419.04</v>
      </c>
      <c r="Y62" s="36"/>
      <c r="Z62" s="36">
        <v>179535.27970129999</v>
      </c>
    </row>
    <row r="63" spans="1:26" ht="18.75" x14ac:dyDescent="0.3">
      <c r="A63" s="35" t="s">
        <v>81</v>
      </c>
      <c r="B63" s="36"/>
      <c r="C63" s="36"/>
      <c r="D63" s="36"/>
      <c r="E63" s="36">
        <v>1561.989988</v>
      </c>
      <c r="F63" s="36">
        <v>2341.3999720000002</v>
      </c>
      <c r="G63" s="36">
        <v>5902.6199930000002</v>
      </c>
      <c r="H63" s="36">
        <v>4606.3399909999998</v>
      </c>
      <c r="I63" s="36">
        <v>6049.9800109999996</v>
      </c>
      <c r="J63" s="36">
        <v>3493.5700040000002</v>
      </c>
      <c r="K63" s="36">
        <v>7091.7500060000002</v>
      </c>
      <c r="L63" s="36">
        <v>6366.91003</v>
      </c>
      <c r="M63" s="36">
        <v>6130.4100159999998</v>
      </c>
      <c r="N63" s="36">
        <v>8607.8600129999995</v>
      </c>
      <c r="O63" s="36">
        <v>16699.089909999999</v>
      </c>
      <c r="P63" s="36">
        <v>25730.999930000002</v>
      </c>
      <c r="Q63" s="36">
        <v>41023.909930000002</v>
      </c>
      <c r="R63" s="36">
        <v>11889.1</v>
      </c>
      <c r="S63" s="36">
        <v>13152.74001</v>
      </c>
      <c r="T63" s="36">
        <v>11701.35003</v>
      </c>
      <c r="U63" s="36">
        <v>12923.38999</v>
      </c>
      <c r="V63" s="36">
        <v>12859.08006</v>
      </c>
      <c r="W63" s="36">
        <v>17247.090080000002</v>
      </c>
      <c r="X63" s="36">
        <v>15563.6499</v>
      </c>
      <c r="Y63" s="36"/>
      <c r="Z63" s="36">
        <v>230943.22986400002</v>
      </c>
    </row>
    <row r="64" spans="1:26" ht="18.75" x14ac:dyDescent="0.3">
      <c r="A64" s="35" t="s">
        <v>111</v>
      </c>
      <c r="B64" s="36"/>
      <c r="C64" s="36"/>
      <c r="D64" s="36"/>
      <c r="E64" s="36"/>
      <c r="F64" s="36"/>
      <c r="G64" s="36"/>
      <c r="H64" s="36">
        <v>259.98001099999999</v>
      </c>
      <c r="I64" s="36">
        <v>129.9900055</v>
      </c>
      <c r="J64" s="36">
        <v>129.9900055</v>
      </c>
      <c r="K64" s="36"/>
      <c r="L64" s="36"/>
      <c r="M64" s="36"/>
      <c r="N64" s="36"/>
      <c r="O64" s="36"/>
      <c r="P64" s="36"/>
      <c r="Q64" s="36"/>
      <c r="R64" s="36">
        <v>129.9900055</v>
      </c>
      <c r="S64" s="36"/>
      <c r="T64" s="36"/>
      <c r="U64" s="36"/>
      <c r="V64" s="36"/>
      <c r="W64" s="36">
        <v>677</v>
      </c>
      <c r="X64" s="36">
        <v>219</v>
      </c>
      <c r="Y64" s="36"/>
      <c r="Z64" s="36">
        <v>1545.9500275</v>
      </c>
    </row>
    <row r="65" spans="1:26" ht="18.75" x14ac:dyDescent="0.3">
      <c r="A65" s="35" t="s">
        <v>78</v>
      </c>
      <c r="B65" s="36"/>
      <c r="C65" s="36"/>
      <c r="D65" s="36"/>
      <c r="E65" s="36">
        <v>2199.98999</v>
      </c>
      <c r="F65" s="36">
        <v>3549</v>
      </c>
      <c r="G65" s="36"/>
      <c r="H65" s="36"/>
      <c r="I65" s="36"/>
      <c r="J65" s="36"/>
      <c r="K65" s="36"/>
      <c r="L65" s="36">
        <v>33700</v>
      </c>
      <c r="M65" s="36">
        <v>52878.880129999998</v>
      </c>
      <c r="N65" s="36">
        <v>40393.91992</v>
      </c>
      <c r="O65" s="36">
        <v>9768</v>
      </c>
      <c r="P65" s="36">
        <v>16741</v>
      </c>
      <c r="Q65" s="36">
        <v>7450</v>
      </c>
      <c r="R65" s="36"/>
      <c r="S65" s="36"/>
      <c r="T65" s="36">
        <v>13774.91992</v>
      </c>
      <c r="U65" s="36">
        <v>9429.9199219999991</v>
      </c>
      <c r="V65" s="36">
        <v>13127</v>
      </c>
      <c r="W65" s="36">
        <v>11239</v>
      </c>
      <c r="X65" s="36">
        <v>8711.5</v>
      </c>
      <c r="Y65" s="36"/>
      <c r="Z65" s="36">
        <v>222963.12988200001</v>
      </c>
    </row>
    <row r="66" spans="1:26" ht="18.75" x14ac:dyDescent="0.3">
      <c r="A66" s="35" t="s">
        <v>48</v>
      </c>
      <c r="B66" s="36"/>
      <c r="C66" s="36">
        <v>5688.6999089999999</v>
      </c>
      <c r="D66" s="36"/>
      <c r="E66" s="36">
        <v>5112.5999430000002</v>
      </c>
      <c r="F66" s="36">
        <v>8127.179905</v>
      </c>
      <c r="G66" s="36">
        <v>19808.129700000001</v>
      </c>
      <c r="H66" s="36">
        <v>19891.10973</v>
      </c>
      <c r="I66" s="36">
        <v>20119.039669999998</v>
      </c>
      <c r="J66" s="36">
        <v>24438.09978</v>
      </c>
      <c r="K66" s="36">
        <v>12910.020049999999</v>
      </c>
      <c r="L66" s="36">
        <v>13142.090050000001</v>
      </c>
      <c r="M66" s="36">
        <v>14744.87004</v>
      </c>
      <c r="N66" s="36">
        <v>16984.62</v>
      </c>
      <c r="O66" s="36">
        <v>31831.809959999999</v>
      </c>
      <c r="P66" s="36">
        <v>27864.429899999999</v>
      </c>
      <c r="Q66" s="36">
        <v>20036.890070000001</v>
      </c>
      <c r="R66" s="36">
        <v>20632.700099999998</v>
      </c>
      <c r="S66" s="36">
        <v>20473.250019999999</v>
      </c>
      <c r="T66" s="36">
        <v>17790.309939999999</v>
      </c>
      <c r="U66" s="36">
        <v>24757.699929999999</v>
      </c>
      <c r="V66" s="36">
        <v>27335.85989</v>
      </c>
      <c r="W66" s="36">
        <v>22417.770049999999</v>
      </c>
      <c r="X66" s="36">
        <v>25017.68995</v>
      </c>
      <c r="Y66" s="36"/>
      <c r="Z66" s="36">
        <v>399124.86858699995</v>
      </c>
    </row>
    <row r="67" spans="1:26" ht="18.75" x14ac:dyDescent="0.3">
      <c r="A67" s="35" t="s">
        <v>64</v>
      </c>
      <c r="B67" s="36"/>
      <c r="C67" s="36">
        <v>689.68001560000005</v>
      </c>
      <c r="D67" s="36"/>
      <c r="E67" s="36">
        <v>967.11999270000001</v>
      </c>
      <c r="F67" s="36">
        <v>3729.0699840000002</v>
      </c>
      <c r="G67" s="36">
        <v>8369.9599990000006</v>
      </c>
      <c r="H67" s="36">
        <v>6182.8899940000001</v>
      </c>
      <c r="I67" s="36">
        <v>8151.019929</v>
      </c>
      <c r="J67" s="36">
        <v>5243.5699860000004</v>
      </c>
      <c r="K67" s="36">
        <v>6605.8699589999997</v>
      </c>
      <c r="L67" s="36">
        <v>10500.78995</v>
      </c>
      <c r="M67" s="36">
        <v>8534.9199599999993</v>
      </c>
      <c r="N67" s="36">
        <v>8243.5799540000007</v>
      </c>
      <c r="O67" s="36">
        <v>11325.680039999999</v>
      </c>
      <c r="P67" s="36">
        <v>7227.230055</v>
      </c>
      <c r="Q67" s="36">
        <v>10885.96004</v>
      </c>
      <c r="R67" s="36">
        <v>9595.0299840000007</v>
      </c>
      <c r="S67" s="36">
        <v>13643.69</v>
      </c>
      <c r="T67" s="36">
        <v>18778.300090000001</v>
      </c>
      <c r="U67" s="36">
        <v>11708.460080000001</v>
      </c>
      <c r="V67" s="36">
        <v>19491.780050000001</v>
      </c>
      <c r="W67" s="36">
        <v>19583.740000000002</v>
      </c>
      <c r="X67" s="36">
        <v>24857.06998</v>
      </c>
      <c r="Y67" s="36"/>
      <c r="Z67" s="36">
        <v>214315.41004229998</v>
      </c>
    </row>
    <row r="68" spans="1:26" ht="18.75" x14ac:dyDescent="0.3">
      <c r="A68" s="35" t="s">
        <v>119</v>
      </c>
      <c r="B68" s="36"/>
      <c r="C68" s="36"/>
      <c r="D68" s="36"/>
      <c r="E68" s="36"/>
      <c r="F68" s="36"/>
      <c r="G68" s="36"/>
      <c r="H68" s="36"/>
      <c r="I68" s="36"/>
      <c r="J68" s="36">
        <v>71.900001529999997</v>
      </c>
      <c r="K68" s="36"/>
      <c r="L68" s="36">
        <v>109.06000330000001</v>
      </c>
      <c r="M68" s="36">
        <v>640.98999019999997</v>
      </c>
      <c r="N68" s="36"/>
      <c r="O68" s="36"/>
      <c r="P68" s="36"/>
      <c r="Q68" s="36">
        <v>369.98999020000002</v>
      </c>
      <c r="R68" s="36">
        <v>3024.9</v>
      </c>
      <c r="S68" s="36">
        <v>7890.8999940000003</v>
      </c>
      <c r="T68" s="36">
        <v>13980.980009999999</v>
      </c>
      <c r="U68" s="36">
        <v>10161.6001</v>
      </c>
      <c r="V68" s="36">
        <v>3499</v>
      </c>
      <c r="W68" s="36">
        <v>4699.6699930000004</v>
      </c>
      <c r="X68" s="36">
        <v>2996.7199989999999</v>
      </c>
      <c r="Y68" s="36"/>
      <c r="Z68" s="36">
        <v>47445.710081229998</v>
      </c>
    </row>
    <row r="69" spans="1:26" ht="18.75" x14ac:dyDescent="0.3">
      <c r="A69" s="35" t="s">
        <v>127</v>
      </c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>
        <v>1958</v>
      </c>
      <c r="V69" s="36"/>
      <c r="W69" s="36">
        <v>172.03000449999999</v>
      </c>
      <c r="X69" s="36">
        <v>1838.499992</v>
      </c>
      <c r="Y69" s="36"/>
      <c r="Z69" s="36">
        <v>3968.5299964999999</v>
      </c>
    </row>
    <row r="70" spans="1:26" ht="18.75" x14ac:dyDescent="0.3">
      <c r="A70" s="35" t="s">
        <v>51</v>
      </c>
      <c r="B70" s="36"/>
      <c r="C70" s="36">
        <v>3360.2399650000002</v>
      </c>
      <c r="D70" s="36"/>
      <c r="E70" s="36">
        <v>8086.5199890000004</v>
      </c>
      <c r="F70" s="36">
        <v>11756.20996</v>
      </c>
      <c r="G70" s="36">
        <v>26770.379939999999</v>
      </c>
      <c r="H70" s="36">
        <v>23487.77982</v>
      </c>
      <c r="I70" s="36">
        <v>37973.899790000003</v>
      </c>
      <c r="J70" s="36">
        <v>28948.629919999999</v>
      </c>
      <c r="K70" s="36">
        <v>36804.559990000002</v>
      </c>
      <c r="L70" s="36">
        <v>36419.199650000002</v>
      </c>
      <c r="M70" s="36">
        <v>47135.599580000002</v>
      </c>
      <c r="N70" s="36">
        <v>65959.529670000004</v>
      </c>
      <c r="O70" s="36">
        <v>97724.569820000004</v>
      </c>
      <c r="P70" s="36">
        <v>71727.619690000007</v>
      </c>
      <c r="Q70" s="36">
        <v>75621.240030000001</v>
      </c>
      <c r="R70" s="36">
        <v>63462.179900000003</v>
      </c>
      <c r="S70" s="36">
        <v>97861.079830000002</v>
      </c>
      <c r="T70" s="36">
        <v>92658.569919999994</v>
      </c>
      <c r="U70" s="36">
        <v>123872.66009999999</v>
      </c>
      <c r="V70" s="36">
        <v>86885.56005</v>
      </c>
      <c r="W70" s="36">
        <v>96212.590049999999</v>
      </c>
      <c r="X70" s="36">
        <v>72277.059899999993</v>
      </c>
      <c r="Y70" s="36"/>
      <c r="Z70" s="36">
        <v>1205005.677564</v>
      </c>
    </row>
    <row r="71" spans="1:26" ht="18.75" x14ac:dyDescent="0.3">
      <c r="A71" s="35" t="s">
        <v>86</v>
      </c>
      <c r="B71" s="36"/>
      <c r="C71" s="36"/>
      <c r="D71" s="36"/>
      <c r="E71" s="36">
        <v>183.28999329999999</v>
      </c>
      <c r="F71" s="36"/>
      <c r="G71" s="36"/>
      <c r="H71" s="36"/>
      <c r="I71" s="36"/>
      <c r="J71" s="36"/>
      <c r="K71" s="36"/>
      <c r="L71" s="36"/>
      <c r="M71" s="36">
        <v>100</v>
      </c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>
        <v>283.28999329999999</v>
      </c>
    </row>
    <row r="72" spans="1:26" ht="18.75" x14ac:dyDescent="0.3">
      <c r="A72" s="35" t="s">
        <v>107</v>
      </c>
      <c r="B72" s="36"/>
      <c r="C72" s="36"/>
      <c r="D72" s="36"/>
      <c r="E72" s="36"/>
      <c r="F72" s="36"/>
      <c r="G72" s="36">
        <v>75</v>
      </c>
      <c r="H72" s="36">
        <v>128.0599995</v>
      </c>
      <c r="I72" s="36">
        <v>508.85000129999997</v>
      </c>
      <c r="J72" s="36">
        <v>273.89999390000003</v>
      </c>
      <c r="K72" s="36">
        <v>530.18999859999997</v>
      </c>
      <c r="L72" s="36">
        <v>377.80000109999997</v>
      </c>
      <c r="M72" s="36">
        <v>438.40000149999997</v>
      </c>
      <c r="N72" s="36">
        <v>744</v>
      </c>
      <c r="O72" s="36">
        <v>596.7900009</v>
      </c>
      <c r="P72" s="36">
        <v>770</v>
      </c>
      <c r="Q72" s="36">
        <v>1048.7900030000001</v>
      </c>
      <c r="R72" s="36">
        <v>715.7900009</v>
      </c>
      <c r="S72" s="36">
        <v>921.90000150000003</v>
      </c>
      <c r="T72" s="36">
        <v>2222.300013</v>
      </c>
      <c r="U72" s="36">
        <v>683.49999089999994</v>
      </c>
      <c r="V72" s="36">
        <v>5863.1800819999999</v>
      </c>
      <c r="W72" s="36">
        <v>3785.1899950000002</v>
      </c>
      <c r="X72" s="36">
        <v>1825.5900059999999</v>
      </c>
      <c r="Y72" s="36"/>
      <c r="Z72" s="36">
        <v>21509.230089099998</v>
      </c>
    </row>
    <row r="73" spans="1:26" ht="18.75" x14ac:dyDescent="0.3">
      <c r="A73" s="35" t="s">
        <v>95</v>
      </c>
      <c r="B73" s="36"/>
      <c r="C73" s="36"/>
      <c r="D73" s="36"/>
      <c r="E73" s="36"/>
      <c r="F73" s="36">
        <v>792</v>
      </c>
      <c r="G73" s="36">
        <v>495</v>
      </c>
      <c r="H73" s="36">
        <v>1112.880011</v>
      </c>
      <c r="I73" s="36">
        <v>1514.979996</v>
      </c>
      <c r="J73" s="36">
        <v>594</v>
      </c>
      <c r="K73" s="36">
        <v>198</v>
      </c>
      <c r="L73" s="36">
        <v>450.88999940000002</v>
      </c>
      <c r="M73" s="36">
        <v>233.9000015</v>
      </c>
      <c r="N73" s="36">
        <v>99</v>
      </c>
      <c r="O73" s="36">
        <v>350.4000072</v>
      </c>
      <c r="P73" s="36">
        <v>419.4000092</v>
      </c>
      <c r="Q73" s="36">
        <v>161.8000031</v>
      </c>
      <c r="R73" s="36">
        <v>694.97001269999998</v>
      </c>
      <c r="S73" s="36">
        <v>259.2900047</v>
      </c>
      <c r="T73" s="36">
        <v>52</v>
      </c>
      <c r="U73" s="36">
        <v>49.900001529999997</v>
      </c>
      <c r="V73" s="36">
        <v>50</v>
      </c>
      <c r="W73" s="36"/>
      <c r="X73" s="36"/>
      <c r="Y73" s="36"/>
      <c r="Z73" s="36">
        <v>7528.4100463300001</v>
      </c>
    </row>
    <row r="74" spans="1:26" ht="18.75" x14ac:dyDescent="0.3">
      <c r="A74" s="35" t="s">
        <v>46</v>
      </c>
      <c r="B74" s="36">
        <v>59.5</v>
      </c>
      <c r="C74" s="36">
        <v>500.07999419999999</v>
      </c>
      <c r="D74" s="36"/>
      <c r="E74" s="36">
        <v>2945.859989</v>
      </c>
      <c r="F74" s="36">
        <v>6899.0900890000003</v>
      </c>
      <c r="G74" s="36">
        <v>8121.0500140000004</v>
      </c>
      <c r="H74" s="36">
        <v>7245.8699660000002</v>
      </c>
      <c r="I74" s="36">
        <v>9264.0999800000009</v>
      </c>
      <c r="J74" s="36">
        <v>6757.6199770000003</v>
      </c>
      <c r="K74" s="36">
        <v>9064.8600409999999</v>
      </c>
      <c r="L74" s="36">
        <v>10930.289940000001</v>
      </c>
      <c r="M74" s="36">
        <v>18559.249769999999</v>
      </c>
      <c r="N74" s="36">
        <v>22850.759959999999</v>
      </c>
      <c r="O74" s="36">
        <v>26564.87976</v>
      </c>
      <c r="P74" s="36">
        <v>13611.00986</v>
      </c>
      <c r="Q74" s="36">
        <v>14879.96005</v>
      </c>
      <c r="R74" s="36">
        <v>14105.23999</v>
      </c>
      <c r="S74" s="36">
        <v>25804.88998</v>
      </c>
      <c r="T74" s="36">
        <v>16636.84002</v>
      </c>
      <c r="U74" s="36">
        <v>21608.260020000002</v>
      </c>
      <c r="V74" s="36">
        <v>22776.820019999999</v>
      </c>
      <c r="W74" s="36">
        <v>26939.410039999999</v>
      </c>
      <c r="X74" s="36">
        <v>37541.889929999998</v>
      </c>
      <c r="Y74" s="36"/>
      <c r="Z74" s="36">
        <v>323667.52939019998</v>
      </c>
    </row>
    <row r="75" spans="1:26" ht="18.75" x14ac:dyDescent="0.3">
      <c r="A75" s="35" t="s">
        <v>63</v>
      </c>
      <c r="B75" s="36"/>
      <c r="C75" s="36">
        <v>704.87999730000001</v>
      </c>
      <c r="D75" s="36"/>
      <c r="E75" s="36">
        <v>677.12001129999999</v>
      </c>
      <c r="F75" s="36">
        <v>759.23000809999996</v>
      </c>
      <c r="G75" s="36">
        <v>1592.35004</v>
      </c>
      <c r="H75" s="36">
        <v>2998.330003</v>
      </c>
      <c r="I75" s="36">
        <v>462.33001330000002</v>
      </c>
      <c r="J75" s="36">
        <v>933.67001909999999</v>
      </c>
      <c r="K75" s="36">
        <v>218.73000339999999</v>
      </c>
      <c r="L75" s="36">
        <v>3343.5399889999999</v>
      </c>
      <c r="M75" s="36">
        <v>13692.91</v>
      </c>
      <c r="N75" s="36">
        <v>3751.8799819999999</v>
      </c>
      <c r="O75" s="36">
        <v>943.97999000000004</v>
      </c>
      <c r="P75" s="36">
        <v>998.76998900000001</v>
      </c>
      <c r="Q75" s="36">
        <v>2444.0999820000002</v>
      </c>
      <c r="R75" s="36">
        <v>6138.669981</v>
      </c>
      <c r="S75" s="36">
        <v>1930.5899979999999</v>
      </c>
      <c r="T75" s="36">
        <v>1921.939991</v>
      </c>
      <c r="U75" s="36">
        <v>1946.0999979999999</v>
      </c>
      <c r="V75" s="36">
        <v>2080.3199979999999</v>
      </c>
      <c r="W75" s="36">
        <v>9319.3900030000004</v>
      </c>
      <c r="X75" s="36">
        <v>2724.1699699999999</v>
      </c>
      <c r="Y75" s="36"/>
      <c r="Z75" s="36">
        <v>59582.9999665</v>
      </c>
    </row>
    <row r="76" spans="1:26" ht="18.75" x14ac:dyDescent="0.3">
      <c r="A76" s="35" t="s">
        <v>61</v>
      </c>
      <c r="B76" s="36"/>
      <c r="C76" s="36">
        <v>1287.070005</v>
      </c>
      <c r="D76" s="36"/>
      <c r="E76" s="36">
        <v>2827.5799900000002</v>
      </c>
      <c r="F76" s="36">
        <v>12659.67</v>
      </c>
      <c r="G76" s="36">
        <v>13511.80991</v>
      </c>
      <c r="H76" s="36">
        <v>15028.839980000001</v>
      </c>
      <c r="I76" s="36">
        <v>21726.480070000001</v>
      </c>
      <c r="J76" s="36">
        <v>23623.71027</v>
      </c>
      <c r="K76" s="36">
        <v>20874.300050000002</v>
      </c>
      <c r="L76" s="36">
        <v>23733.940009999998</v>
      </c>
      <c r="M76" s="36">
        <v>20313.259989999999</v>
      </c>
      <c r="N76" s="36">
        <v>15996.63004</v>
      </c>
      <c r="O76" s="36">
        <v>34855.320119999997</v>
      </c>
      <c r="P76" s="36">
        <v>25921.950089999998</v>
      </c>
      <c r="Q76" s="36">
        <v>38078.310149999998</v>
      </c>
      <c r="R76" s="36">
        <v>35448.56005</v>
      </c>
      <c r="S76" s="36">
        <v>37514.440110000003</v>
      </c>
      <c r="T76" s="36">
        <v>45405.959909999998</v>
      </c>
      <c r="U76" s="36">
        <v>63003.57</v>
      </c>
      <c r="V76" s="36">
        <v>56825.450040000003</v>
      </c>
      <c r="W76" s="36">
        <v>63409.140019999999</v>
      </c>
      <c r="X76" s="36">
        <v>60202.670080000004</v>
      </c>
      <c r="Y76" s="36"/>
      <c r="Z76" s="36">
        <v>632248.66088500002</v>
      </c>
    </row>
    <row r="77" spans="1:26" ht="18.75" x14ac:dyDescent="0.3">
      <c r="A77" s="35" t="s">
        <v>128</v>
      </c>
      <c r="B77" s="36">
        <v>267.36000819999998</v>
      </c>
      <c r="C77" s="36">
        <v>49507.659777650013</v>
      </c>
      <c r="D77" s="36">
        <v>10.899999619999999</v>
      </c>
      <c r="E77" s="36">
        <v>120312.86980378997</v>
      </c>
      <c r="F77" s="36">
        <v>247303.01980699005</v>
      </c>
      <c r="G77" s="36">
        <v>374344.29948300001</v>
      </c>
      <c r="H77" s="36">
        <v>359927.22971624008</v>
      </c>
      <c r="I77" s="36">
        <v>506071.1393101</v>
      </c>
      <c r="J77" s="36">
        <v>433038.60011794482</v>
      </c>
      <c r="K77" s="36">
        <v>498031.48040012986</v>
      </c>
      <c r="L77" s="36">
        <v>573971.68046273908</v>
      </c>
      <c r="M77" s="36">
        <v>624401.68940892024</v>
      </c>
      <c r="N77" s="36">
        <v>664219.4300220299</v>
      </c>
      <c r="O77" s="36">
        <v>1010271.3712149704</v>
      </c>
      <c r="P77" s="36">
        <v>743914.16976859001</v>
      </c>
      <c r="Q77" s="36">
        <v>950030.36134984996</v>
      </c>
      <c r="R77" s="36">
        <v>844178.71134565026</v>
      </c>
      <c r="S77" s="36">
        <v>983213.44143417967</v>
      </c>
      <c r="T77" s="36">
        <v>996647.74937714997</v>
      </c>
      <c r="U77" s="36">
        <v>996517.6797196999</v>
      </c>
      <c r="V77" s="36">
        <v>865124.30944773962</v>
      </c>
      <c r="W77" s="36">
        <v>895507.22010479006</v>
      </c>
      <c r="X77" s="36">
        <v>854686.32963164884</v>
      </c>
      <c r="Y77" s="36">
        <v>145</v>
      </c>
      <c r="Z77" s="36">
        <v>13591643.701711623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7"/>
  <sheetViews>
    <sheetView zoomScaleNormal="100" workbookViewId="0"/>
  </sheetViews>
  <sheetFormatPr defaultRowHeight="15" x14ac:dyDescent="0.25"/>
  <cols>
    <col min="1" max="1" width="53.42578125" customWidth="1"/>
    <col min="2" max="2" width="12.28515625" customWidth="1"/>
    <col min="3" max="3" width="9.85546875" bestFit="1" customWidth="1"/>
    <col min="4" max="4" width="10" bestFit="1" customWidth="1"/>
    <col min="5" max="6" width="10.140625" bestFit="1" customWidth="1"/>
    <col min="7" max="7" width="10.42578125" bestFit="1" customWidth="1"/>
    <col min="8" max="8" width="10.140625" bestFit="1" customWidth="1"/>
    <col min="9" max="9" width="10.7109375" bestFit="1" customWidth="1"/>
    <col min="10" max="11" width="10.140625" bestFit="1" customWidth="1"/>
    <col min="12" max="12" width="10.28515625" bestFit="1" customWidth="1"/>
    <col min="13" max="14" width="10.140625" bestFit="1" customWidth="1"/>
    <col min="15" max="15" width="10.42578125" bestFit="1" customWidth="1"/>
    <col min="16" max="17" width="10.140625" bestFit="1" customWidth="1"/>
    <col min="18" max="18" width="11.85546875" bestFit="1" customWidth="1"/>
    <col min="19" max="19" width="10.42578125" bestFit="1" customWidth="1"/>
    <col min="20" max="20" width="10.140625" bestFit="1" customWidth="1"/>
    <col min="21" max="24" width="11.85546875" bestFit="1" customWidth="1"/>
    <col min="25" max="25" width="10" bestFit="1" customWidth="1"/>
    <col min="26" max="26" width="12.42578125" bestFit="1" customWidth="1"/>
    <col min="27" max="27" width="14.7109375" customWidth="1"/>
  </cols>
  <sheetData>
    <row r="1" spans="1:27" ht="15.75" x14ac:dyDescent="0.25">
      <c r="A1" s="45" t="s">
        <v>134</v>
      </c>
      <c r="B1" s="41" t="s">
        <v>135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46"/>
    </row>
    <row r="2" spans="1:27" ht="15.75" x14ac:dyDescent="0.25">
      <c r="A2" s="42" t="s">
        <v>133</v>
      </c>
      <c r="B2" s="43">
        <v>42614</v>
      </c>
      <c r="C2" s="43">
        <v>42644</v>
      </c>
      <c r="D2" s="43">
        <v>42705</v>
      </c>
      <c r="E2" s="43">
        <v>42736</v>
      </c>
      <c r="F2" s="43">
        <v>42767</v>
      </c>
      <c r="G2" s="43">
        <v>42795</v>
      </c>
      <c r="H2" s="43">
        <v>42826</v>
      </c>
      <c r="I2" s="43">
        <v>42856</v>
      </c>
      <c r="J2" s="43">
        <v>42887</v>
      </c>
      <c r="K2" s="43">
        <v>42917</v>
      </c>
      <c r="L2" s="43">
        <v>42948</v>
      </c>
      <c r="M2" s="43">
        <v>42979</v>
      </c>
      <c r="N2" s="43">
        <v>43009</v>
      </c>
      <c r="O2" s="43">
        <v>43040</v>
      </c>
      <c r="P2" s="43">
        <v>43070</v>
      </c>
      <c r="Q2" s="43">
        <v>43101</v>
      </c>
      <c r="R2" s="43">
        <v>43132</v>
      </c>
      <c r="S2" s="43">
        <v>43160</v>
      </c>
      <c r="T2" s="43">
        <v>43191</v>
      </c>
      <c r="U2" s="43">
        <v>43221</v>
      </c>
      <c r="V2" s="43">
        <v>43252</v>
      </c>
      <c r="W2" s="43">
        <v>43282</v>
      </c>
      <c r="X2" s="43">
        <v>43313</v>
      </c>
      <c r="Y2" s="43">
        <v>43344</v>
      </c>
      <c r="Z2" s="43" t="s">
        <v>128</v>
      </c>
      <c r="AA2" s="47" t="s">
        <v>132</v>
      </c>
    </row>
    <row r="3" spans="1:27" ht="15.75" x14ac:dyDescent="0.25">
      <c r="A3" s="31" t="s">
        <v>91</v>
      </c>
      <c r="B3" s="44"/>
      <c r="C3" s="44"/>
      <c r="D3" s="44"/>
      <c r="E3" s="44">
        <v>65.969999310000006</v>
      </c>
      <c r="F3" s="44">
        <v>224.84000019999999</v>
      </c>
      <c r="G3" s="44">
        <v>81.990001680000006</v>
      </c>
      <c r="H3" s="44"/>
      <c r="I3" s="44">
        <v>1579.9399639999999</v>
      </c>
      <c r="J3" s="44">
        <v>1390</v>
      </c>
      <c r="K3" s="44">
        <v>1180</v>
      </c>
      <c r="L3" s="44">
        <v>88</v>
      </c>
      <c r="M3" s="44">
        <v>1993.98999</v>
      </c>
      <c r="N3" s="44">
        <v>3350.2799799999998</v>
      </c>
      <c r="O3" s="44">
        <v>13932.48985</v>
      </c>
      <c r="P3" s="44">
        <v>5291.7000049999997</v>
      </c>
      <c r="Q3" s="44">
        <v>5853.4400020000003</v>
      </c>
      <c r="R3" s="44">
        <v>7404.7999879999998</v>
      </c>
      <c r="S3" s="44">
        <v>6019</v>
      </c>
      <c r="T3" s="44">
        <v>4500.7000500000004</v>
      </c>
      <c r="U3" s="44">
        <v>3279.749992</v>
      </c>
      <c r="V3" s="44">
        <v>3515.7999949999999</v>
      </c>
      <c r="W3" s="44">
        <v>7756.690012</v>
      </c>
      <c r="X3" s="44">
        <v>5021.0899730000001</v>
      </c>
      <c r="Y3" s="44"/>
      <c r="Z3" s="32">
        <v>72530.469802189997</v>
      </c>
      <c r="AA3" s="48"/>
    </row>
    <row r="4" spans="1:27" ht="15.75" x14ac:dyDescent="0.25">
      <c r="A4" s="31" t="s">
        <v>72</v>
      </c>
      <c r="B4" s="44"/>
      <c r="C4" s="44">
        <v>79.900001529999997</v>
      </c>
      <c r="D4" s="44"/>
      <c r="E4" s="44">
        <v>42.819999690000003</v>
      </c>
      <c r="F4" s="44">
        <v>715.62997629999995</v>
      </c>
      <c r="G4" s="44">
        <v>2667.5599609999999</v>
      </c>
      <c r="H4" s="44">
        <v>491.2999992</v>
      </c>
      <c r="I4" s="44">
        <v>387.89999390000003</v>
      </c>
      <c r="J4" s="44">
        <v>149.8999939</v>
      </c>
      <c r="K4" s="44">
        <v>584.15999790000001</v>
      </c>
      <c r="L4" s="44">
        <v>364.49999430000003</v>
      </c>
      <c r="M4" s="44">
        <v>992.91999239999996</v>
      </c>
      <c r="N4" s="44">
        <v>806.06000329999995</v>
      </c>
      <c r="O4" s="44">
        <v>556.95000460000006</v>
      </c>
      <c r="P4" s="44">
        <v>978.19000240000003</v>
      </c>
      <c r="Q4" s="44">
        <v>868.41000940000004</v>
      </c>
      <c r="R4" s="44">
        <v>1933.4200040000001</v>
      </c>
      <c r="S4" s="44">
        <v>1559.900003</v>
      </c>
      <c r="T4" s="44">
        <v>1665.430014</v>
      </c>
      <c r="U4" s="44">
        <v>1542.93</v>
      </c>
      <c r="V4" s="44">
        <v>1371.1800040000001</v>
      </c>
      <c r="W4" s="44">
        <v>3378.1699960000001</v>
      </c>
      <c r="X4" s="44">
        <v>8256.1800120000007</v>
      </c>
      <c r="Y4" s="44"/>
      <c r="Z4" s="32">
        <v>29393.409962820002</v>
      </c>
      <c r="AA4" s="48"/>
    </row>
    <row r="5" spans="1:27" ht="15.75" x14ac:dyDescent="0.25">
      <c r="A5" s="31" t="s">
        <v>106</v>
      </c>
      <c r="B5" s="44"/>
      <c r="C5" s="44"/>
      <c r="D5" s="44"/>
      <c r="E5" s="44"/>
      <c r="F5" s="44"/>
      <c r="G5" s="44">
        <v>110.7999992</v>
      </c>
      <c r="H5" s="44">
        <v>47.899999620000003</v>
      </c>
      <c r="I5" s="44">
        <v>416.28999709999999</v>
      </c>
      <c r="J5" s="44">
        <v>57.399999620000003</v>
      </c>
      <c r="K5" s="44">
        <v>168.1999989</v>
      </c>
      <c r="L5" s="44">
        <v>494.81001279999998</v>
      </c>
      <c r="M5" s="44">
        <v>310.86000630000001</v>
      </c>
      <c r="N5" s="44">
        <v>2297.229977</v>
      </c>
      <c r="O5" s="44">
        <v>2445.5700069999998</v>
      </c>
      <c r="P5" s="44">
        <v>1098.6799960000001</v>
      </c>
      <c r="Q5" s="44">
        <v>341.17000009999998</v>
      </c>
      <c r="R5" s="44">
        <v>1059.1000019999999</v>
      </c>
      <c r="S5" s="44">
        <v>2350.7700289999998</v>
      </c>
      <c r="T5" s="44">
        <v>605.07000919999996</v>
      </c>
      <c r="U5" s="44">
        <v>1239.44001</v>
      </c>
      <c r="V5" s="44">
        <v>293.85000230000003</v>
      </c>
      <c r="W5" s="44">
        <v>813.73000139999999</v>
      </c>
      <c r="X5" s="44">
        <v>1028.610001</v>
      </c>
      <c r="Y5" s="44"/>
      <c r="Z5" s="32">
        <v>15179.480048539997</v>
      </c>
      <c r="AA5" s="48"/>
    </row>
    <row r="6" spans="1:27" ht="15.75" x14ac:dyDescent="0.25">
      <c r="A6" s="31" t="s">
        <v>105</v>
      </c>
      <c r="B6" s="44"/>
      <c r="C6" s="44"/>
      <c r="D6" s="44"/>
      <c r="E6" s="44"/>
      <c r="F6" s="44"/>
      <c r="G6" s="44">
        <v>223.25</v>
      </c>
      <c r="H6" s="44">
        <v>119.9000015</v>
      </c>
      <c r="I6" s="44">
        <v>6967.650009</v>
      </c>
      <c r="J6" s="44">
        <v>421.7000122</v>
      </c>
      <c r="K6" s="44">
        <v>386.7499924</v>
      </c>
      <c r="L6" s="44">
        <v>244.7000046</v>
      </c>
      <c r="M6" s="44">
        <v>388.53999329999999</v>
      </c>
      <c r="N6" s="44">
        <v>349.05000310000003</v>
      </c>
      <c r="O6" s="44">
        <v>75</v>
      </c>
      <c r="P6" s="44">
        <v>115.2500014</v>
      </c>
      <c r="Q6" s="44">
        <v>2540.7700730000001</v>
      </c>
      <c r="R6" s="44">
        <v>1251.7099840000001</v>
      </c>
      <c r="S6" s="44">
        <v>461.50000189999997</v>
      </c>
      <c r="T6" s="44">
        <v>2140.2799799999998</v>
      </c>
      <c r="U6" s="44">
        <v>2691.8599880000002</v>
      </c>
      <c r="V6" s="44">
        <v>2500.1399940000001</v>
      </c>
      <c r="W6" s="44">
        <v>1843.199963</v>
      </c>
      <c r="X6" s="44">
        <v>1481.389977</v>
      </c>
      <c r="Y6" s="44"/>
      <c r="Z6" s="32">
        <v>24202.639978399999</v>
      </c>
      <c r="AA6" s="48"/>
    </row>
    <row r="7" spans="1:27" ht="15.75" x14ac:dyDescent="0.25">
      <c r="A7" s="31" t="s">
        <v>117</v>
      </c>
      <c r="B7" s="44"/>
      <c r="C7" s="44"/>
      <c r="D7" s="44"/>
      <c r="E7" s="44"/>
      <c r="F7" s="44"/>
      <c r="G7" s="44"/>
      <c r="H7" s="44"/>
      <c r="I7" s="44">
        <v>21.989999770000001</v>
      </c>
      <c r="J7" s="44"/>
      <c r="K7" s="44">
        <v>129.8999939</v>
      </c>
      <c r="L7" s="44"/>
      <c r="M7" s="44"/>
      <c r="N7" s="44"/>
      <c r="O7" s="44"/>
      <c r="P7" s="44"/>
      <c r="Q7" s="44"/>
      <c r="R7" s="44"/>
      <c r="S7" s="44"/>
      <c r="T7" s="44">
        <v>15.989999770000001</v>
      </c>
      <c r="U7" s="44">
        <v>89.800003050000001</v>
      </c>
      <c r="V7" s="44"/>
      <c r="W7" s="44">
        <v>654.57002160000002</v>
      </c>
      <c r="X7" s="44">
        <v>901.75998689999994</v>
      </c>
      <c r="Y7" s="44"/>
      <c r="Z7" s="32">
        <v>1814.01000499</v>
      </c>
      <c r="AA7" s="48"/>
    </row>
    <row r="8" spans="1:27" ht="15.75" x14ac:dyDescent="0.25">
      <c r="A8" s="31" t="s">
        <v>123</v>
      </c>
      <c r="B8" s="44"/>
      <c r="C8" s="44"/>
      <c r="D8" s="44"/>
      <c r="E8" s="44"/>
      <c r="F8" s="44"/>
      <c r="G8" s="44"/>
      <c r="H8" s="44"/>
      <c r="I8" s="44"/>
      <c r="J8" s="44"/>
      <c r="K8" s="44">
        <v>69.900001529999997</v>
      </c>
      <c r="L8" s="44"/>
      <c r="M8" s="44">
        <v>269.7999878</v>
      </c>
      <c r="N8" s="44">
        <v>137.8000031</v>
      </c>
      <c r="O8" s="44">
        <v>870.6900177</v>
      </c>
      <c r="P8" s="44">
        <v>515.20001219999995</v>
      </c>
      <c r="Q8" s="44">
        <v>135.8000031</v>
      </c>
      <c r="R8" s="44"/>
      <c r="S8" s="44">
        <v>913.89999580000006</v>
      </c>
      <c r="T8" s="44">
        <v>43.799999239999998</v>
      </c>
      <c r="U8" s="44">
        <v>100.6999989</v>
      </c>
      <c r="V8" s="44">
        <v>84.800001140000006</v>
      </c>
      <c r="W8" s="44">
        <v>57.5</v>
      </c>
      <c r="X8" s="44">
        <v>1285.289986</v>
      </c>
      <c r="Y8" s="44"/>
      <c r="Z8" s="32">
        <v>4485.1800065099997</v>
      </c>
      <c r="AA8" s="48"/>
    </row>
    <row r="9" spans="1:27" ht="15.75" x14ac:dyDescent="0.25">
      <c r="A9" s="31" t="s">
        <v>113</v>
      </c>
      <c r="B9" s="44"/>
      <c r="C9" s="44"/>
      <c r="D9" s="44"/>
      <c r="E9" s="44"/>
      <c r="F9" s="44"/>
      <c r="G9" s="44"/>
      <c r="H9" s="44">
        <v>69</v>
      </c>
      <c r="I9" s="44"/>
      <c r="J9" s="44">
        <v>184.7000008</v>
      </c>
      <c r="K9" s="44">
        <v>65.090001580000006</v>
      </c>
      <c r="L9" s="44">
        <v>58.900001529999997</v>
      </c>
      <c r="M9" s="44">
        <v>254.7000046</v>
      </c>
      <c r="N9" s="44">
        <v>388.05000690000003</v>
      </c>
      <c r="O9" s="44">
        <v>1340.5799930000001</v>
      </c>
      <c r="P9" s="44">
        <v>493.90000579999997</v>
      </c>
      <c r="Q9" s="44">
        <v>851.5000076</v>
      </c>
      <c r="R9" s="44">
        <v>2059.650024</v>
      </c>
      <c r="S9" s="44">
        <v>854.95000930000003</v>
      </c>
      <c r="T9" s="44">
        <v>275.1500039</v>
      </c>
      <c r="U9" s="44">
        <v>524.53000450000002</v>
      </c>
      <c r="V9" s="44">
        <v>306.1900043</v>
      </c>
      <c r="W9" s="44">
        <v>509.56000230000001</v>
      </c>
      <c r="X9" s="44">
        <v>564.37000179999995</v>
      </c>
      <c r="Y9" s="44"/>
      <c r="Z9" s="32">
        <v>8800.8200719100005</v>
      </c>
      <c r="AA9" s="48"/>
    </row>
    <row r="10" spans="1:27" ht="15.75" x14ac:dyDescent="0.25">
      <c r="A10" s="31" t="s">
        <v>69</v>
      </c>
      <c r="B10" s="44"/>
      <c r="C10" s="44">
        <v>156.98999979999999</v>
      </c>
      <c r="D10" s="44"/>
      <c r="E10" s="44"/>
      <c r="F10" s="44">
        <v>163.7999992</v>
      </c>
      <c r="G10" s="44">
        <v>1134.770008</v>
      </c>
      <c r="H10" s="44">
        <v>942.20000460000006</v>
      </c>
      <c r="I10" s="44">
        <v>2081.1799930000002</v>
      </c>
      <c r="J10" s="44">
        <v>1671</v>
      </c>
      <c r="K10" s="44">
        <v>771.68999859999997</v>
      </c>
      <c r="L10" s="44">
        <v>1050.6999949999999</v>
      </c>
      <c r="M10" s="44">
        <v>1042.5900019999999</v>
      </c>
      <c r="N10" s="44">
        <v>2348.4799790000002</v>
      </c>
      <c r="O10" s="44">
        <v>3677.2299290000001</v>
      </c>
      <c r="P10" s="44">
        <v>2686.9299700000001</v>
      </c>
      <c r="Q10" s="44">
        <v>3820.2799610000002</v>
      </c>
      <c r="R10" s="44">
        <v>2828.4899879999998</v>
      </c>
      <c r="S10" s="44">
        <v>10606.68995</v>
      </c>
      <c r="T10" s="44">
        <v>7045.0698849999999</v>
      </c>
      <c r="U10" s="44">
        <v>2697.679987</v>
      </c>
      <c r="V10" s="44">
        <v>1830.6900009999999</v>
      </c>
      <c r="W10" s="44">
        <v>2062.6399879999999</v>
      </c>
      <c r="X10" s="44">
        <v>2069.3999880000001</v>
      </c>
      <c r="Y10" s="44"/>
      <c r="Z10" s="32">
        <v>50688.499626200006</v>
      </c>
      <c r="AA10" s="48"/>
    </row>
    <row r="11" spans="1:27" ht="15.75" x14ac:dyDescent="0.25">
      <c r="A11" s="31" t="s">
        <v>53</v>
      </c>
      <c r="B11" s="44"/>
      <c r="C11" s="44">
        <v>1833.2499829999999</v>
      </c>
      <c r="D11" s="44"/>
      <c r="E11" s="44">
        <v>5218.5299359999999</v>
      </c>
      <c r="F11" s="44">
        <v>13162.40005</v>
      </c>
      <c r="G11" s="44">
        <v>14482.07006</v>
      </c>
      <c r="H11" s="44">
        <v>15548.17002</v>
      </c>
      <c r="I11" s="44">
        <v>18640.03009</v>
      </c>
      <c r="J11" s="44">
        <v>31370.689989999999</v>
      </c>
      <c r="K11" s="44">
        <v>14119.74006</v>
      </c>
      <c r="L11" s="44">
        <v>20421.109929999999</v>
      </c>
      <c r="M11" s="44">
        <v>14544.670029999999</v>
      </c>
      <c r="N11" s="44">
        <v>21505.280009999999</v>
      </c>
      <c r="O11" s="44">
        <v>34955.380120000002</v>
      </c>
      <c r="P11" s="44">
        <v>39287.639969999997</v>
      </c>
      <c r="Q11" s="44">
        <v>35995.020109999998</v>
      </c>
      <c r="R11" s="44">
        <v>41706.890070000001</v>
      </c>
      <c r="S11" s="44">
        <v>44753.240010000001</v>
      </c>
      <c r="T11" s="44">
        <v>49629.190139999999</v>
      </c>
      <c r="U11" s="44">
        <v>40928.140149999999</v>
      </c>
      <c r="V11" s="44">
        <v>45407.489950000003</v>
      </c>
      <c r="W11" s="44">
        <v>43830.290070000003</v>
      </c>
      <c r="X11" s="44">
        <v>45380.889969999997</v>
      </c>
      <c r="Y11" s="44"/>
      <c r="Z11" s="32">
        <v>592720.11071900011</v>
      </c>
      <c r="AA11" s="48"/>
    </row>
    <row r="12" spans="1:27" ht="15.75" x14ac:dyDescent="0.25">
      <c r="A12" s="31" t="s">
        <v>55</v>
      </c>
      <c r="B12" s="44"/>
      <c r="C12" s="44">
        <v>1630.1600060000001</v>
      </c>
      <c r="D12" s="44"/>
      <c r="E12" s="44">
        <v>6397.8700120000003</v>
      </c>
      <c r="F12" s="44">
        <v>3048.4800049999999</v>
      </c>
      <c r="G12" s="44">
        <v>3724.0799849999999</v>
      </c>
      <c r="H12" s="44">
        <v>3980.4500539999999</v>
      </c>
      <c r="I12" s="44">
        <v>9849.5100540000003</v>
      </c>
      <c r="J12" s="44">
        <v>7864.7400379999999</v>
      </c>
      <c r="K12" s="44">
        <v>15941.11001</v>
      </c>
      <c r="L12" s="44">
        <v>19982.129919999999</v>
      </c>
      <c r="M12" s="44">
        <v>24366.300009999999</v>
      </c>
      <c r="N12" s="44">
        <v>16497.500039999999</v>
      </c>
      <c r="O12" s="44">
        <v>21738.780050000001</v>
      </c>
      <c r="P12" s="44">
        <v>19943.08005</v>
      </c>
      <c r="Q12" s="44">
        <v>30058.47003</v>
      </c>
      <c r="R12" s="44">
        <v>25985.82012</v>
      </c>
      <c r="S12" s="44">
        <v>41985.740080000003</v>
      </c>
      <c r="T12" s="44">
        <v>49821.839899999999</v>
      </c>
      <c r="U12" s="44">
        <v>34003.599950000003</v>
      </c>
      <c r="V12" s="44">
        <v>30755.119790000001</v>
      </c>
      <c r="W12" s="44">
        <v>22185.95997</v>
      </c>
      <c r="X12" s="44">
        <v>22004.149969999999</v>
      </c>
      <c r="Y12" s="44"/>
      <c r="Z12" s="32">
        <v>411764.890044</v>
      </c>
      <c r="AA12" s="48"/>
    </row>
    <row r="13" spans="1:27" ht="15.75" x14ac:dyDescent="0.25">
      <c r="A13" s="31" t="s">
        <v>104</v>
      </c>
      <c r="B13" s="44"/>
      <c r="C13" s="44"/>
      <c r="D13" s="44"/>
      <c r="E13" s="44"/>
      <c r="F13" s="44"/>
      <c r="G13" s="44">
        <v>463.86999889999998</v>
      </c>
      <c r="H13" s="44">
        <v>199.92999649999999</v>
      </c>
      <c r="I13" s="44">
        <v>90</v>
      </c>
      <c r="J13" s="44">
        <v>49.990001679999999</v>
      </c>
      <c r="K13" s="44">
        <v>273.97000889999998</v>
      </c>
      <c r="L13" s="44">
        <v>119.9000015</v>
      </c>
      <c r="M13" s="44">
        <v>327.97000120000001</v>
      </c>
      <c r="N13" s="44">
        <v>596.97999760000005</v>
      </c>
      <c r="O13" s="44">
        <v>748.60999679999998</v>
      </c>
      <c r="P13" s="44">
        <v>2132.8400360000001</v>
      </c>
      <c r="Q13" s="44">
        <v>2307.6100499999998</v>
      </c>
      <c r="R13" s="44">
        <v>1967.4400390000001</v>
      </c>
      <c r="S13" s="44">
        <v>962.70001600000001</v>
      </c>
      <c r="T13" s="44">
        <v>5016.4399030000004</v>
      </c>
      <c r="U13" s="44">
        <v>2790.9799859999998</v>
      </c>
      <c r="V13" s="44">
        <v>1567.070007</v>
      </c>
      <c r="W13" s="44">
        <v>1335.1699980000001</v>
      </c>
      <c r="X13" s="44">
        <v>1477.2300090000001</v>
      </c>
      <c r="Y13" s="44"/>
      <c r="Z13" s="32">
        <v>22428.700047079998</v>
      </c>
      <c r="AA13" s="48"/>
    </row>
    <row r="14" spans="1:27" ht="15.75" x14ac:dyDescent="0.25">
      <c r="A14" s="31" t="s">
        <v>43</v>
      </c>
      <c r="B14" s="44">
        <v>134.97000499999999</v>
      </c>
      <c r="C14" s="44">
        <v>4552.5100210000001</v>
      </c>
      <c r="D14" s="44"/>
      <c r="E14" s="44">
        <v>12561.31999</v>
      </c>
      <c r="F14" s="44">
        <v>22838.789840000001</v>
      </c>
      <c r="G14" s="44">
        <v>25995.25</v>
      </c>
      <c r="H14" s="44">
        <v>22935.749909999999</v>
      </c>
      <c r="I14" s="44">
        <v>46786.019749999999</v>
      </c>
      <c r="J14" s="44">
        <v>32029.389930000001</v>
      </c>
      <c r="K14" s="44">
        <v>34896.859980000001</v>
      </c>
      <c r="L14" s="44">
        <v>49873.900139999998</v>
      </c>
      <c r="M14" s="44">
        <v>51537.64993</v>
      </c>
      <c r="N14" s="44">
        <v>41915.72</v>
      </c>
      <c r="O14" s="44">
        <v>79120.400099999999</v>
      </c>
      <c r="P14" s="44">
        <v>61264.659890000003</v>
      </c>
      <c r="Q14" s="44">
        <v>72470.489950000003</v>
      </c>
      <c r="R14" s="44">
        <v>86996.060540000006</v>
      </c>
      <c r="S14" s="44">
        <v>90034.410699999993</v>
      </c>
      <c r="T14" s="44">
        <v>91751.039990000005</v>
      </c>
      <c r="U14" s="44">
        <v>96460.359719999993</v>
      </c>
      <c r="V14" s="44">
        <v>107908.8199</v>
      </c>
      <c r="W14" s="44">
        <v>105813.03019999999</v>
      </c>
      <c r="X14" s="44">
        <v>120803.94040000001</v>
      </c>
      <c r="Y14" s="44"/>
      <c r="Z14" s="32">
        <v>1258681.3408859998</v>
      </c>
      <c r="AA14" s="48"/>
    </row>
    <row r="15" spans="1:27" ht="15.75" x14ac:dyDescent="0.25">
      <c r="A15" s="31" t="s">
        <v>49</v>
      </c>
      <c r="B15" s="44"/>
      <c r="C15" s="44">
        <v>4465.08997</v>
      </c>
      <c r="D15" s="44"/>
      <c r="E15" s="44">
        <v>4814.0899980000004</v>
      </c>
      <c r="F15" s="44">
        <v>9403.3400230000007</v>
      </c>
      <c r="G15" s="44">
        <v>12429.470090000001</v>
      </c>
      <c r="H15" s="44">
        <v>13039.42994</v>
      </c>
      <c r="I15" s="44">
        <v>22626.949929999999</v>
      </c>
      <c r="J15" s="44">
        <v>15476.350049999999</v>
      </c>
      <c r="K15" s="44">
        <v>24511.72003</v>
      </c>
      <c r="L15" s="44">
        <v>18126.870019999998</v>
      </c>
      <c r="M15" s="44">
        <v>31399.22005</v>
      </c>
      <c r="N15" s="44">
        <v>34633.009879999998</v>
      </c>
      <c r="O15" s="44">
        <v>64320.890010000003</v>
      </c>
      <c r="P15" s="44">
        <v>57194.139949999997</v>
      </c>
      <c r="Q15" s="44">
        <v>21948.230039999999</v>
      </c>
      <c r="R15" s="44">
        <v>14778.929980000001</v>
      </c>
      <c r="S15" s="44">
        <v>23407.40019</v>
      </c>
      <c r="T15" s="44">
        <v>23352.38017</v>
      </c>
      <c r="U15" s="44">
        <v>31767.3001</v>
      </c>
      <c r="V15" s="44">
        <v>21221.45003</v>
      </c>
      <c r="W15" s="44">
        <v>17277.289970000002</v>
      </c>
      <c r="X15" s="44">
        <v>17753.050039999998</v>
      </c>
      <c r="Y15" s="44"/>
      <c r="Z15" s="32">
        <v>483946.60046099999</v>
      </c>
      <c r="AA15" s="48"/>
    </row>
    <row r="16" spans="1:27" ht="15.75" x14ac:dyDescent="0.25">
      <c r="A16" s="31" t="s">
        <v>66</v>
      </c>
      <c r="B16" s="44"/>
      <c r="C16" s="44">
        <v>478.98999789999999</v>
      </c>
      <c r="D16" s="44"/>
      <c r="E16" s="44">
        <v>3960.160034</v>
      </c>
      <c r="F16" s="44">
        <v>16282.729880000001</v>
      </c>
      <c r="G16" s="44">
        <v>25773.019970000001</v>
      </c>
      <c r="H16" s="44">
        <v>24347.69008</v>
      </c>
      <c r="I16" s="44">
        <v>33346.450129999997</v>
      </c>
      <c r="J16" s="44">
        <v>35114.810169999997</v>
      </c>
      <c r="K16" s="44">
        <v>63888.75</v>
      </c>
      <c r="L16" s="44">
        <v>57137.230089999997</v>
      </c>
      <c r="M16" s="44">
        <v>52473.200019999997</v>
      </c>
      <c r="N16" s="44">
        <v>46198.000079999998</v>
      </c>
      <c r="O16" s="44">
        <v>89412.540110000002</v>
      </c>
      <c r="P16" s="44">
        <v>50505.849970000003</v>
      </c>
      <c r="Q16" s="44">
        <v>76377.789940000002</v>
      </c>
      <c r="R16" s="44">
        <v>60690.880120000002</v>
      </c>
      <c r="S16" s="44">
        <v>69256.38996</v>
      </c>
      <c r="T16" s="44">
        <v>72357.249859999996</v>
      </c>
      <c r="U16" s="44">
        <v>71702.769679999998</v>
      </c>
      <c r="V16" s="44">
        <v>71565.48</v>
      </c>
      <c r="W16" s="44">
        <v>55082.820019999999</v>
      </c>
      <c r="X16" s="44">
        <v>61035.879950000002</v>
      </c>
      <c r="Y16" s="44"/>
      <c r="Z16" s="32">
        <v>1036988.6800618998</v>
      </c>
      <c r="AA16" s="48"/>
    </row>
    <row r="17" spans="1:27" ht="15.75" x14ac:dyDescent="0.25">
      <c r="A17" s="31" t="s">
        <v>99</v>
      </c>
      <c r="B17" s="44"/>
      <c r="C17" s="44"/>
      <c r="D17" s="44"/>
      <c r="E17" s="44"/>
      <c r="F17" s="44">
        <v>414.6600037</v>
      </c>
      <c r="G17" s="44">
        <v>2123.4000080000001</v>
      </c>
      <c r="H17" s="44">
        <v>2411.1000060000001</v>
      </c>
      <c r="I17" s="44">
        <v>5293.8700429999999</v>
      </c>
      <c r="J17" s="44">
        <v>3056.1900099999998</v>
      </c>
      <c r="K17" s="44">
        <v>4563.850058</v>
      </c>
      <c r="L17" s="44">
        <v>4000.1900220000002</v>
      </c>
      <c r="M17" s="44">
        <v>4592.3400039999997</v>
      </c>
      <c r="N17" s="44">
        <v>3619.8000080000002</v>
      </c>
      <c r="O17" s="44">
        <v>5355.3900599999997</v>
      </c>
      <c r="P17" s="44">
        <v>2257.8000029999998</v>
      </c>
      <c r="Q17" s="44">
        <v>3020.1600250000001</v>
      </c>
      <c r="R17" s="44">
        <v>3012.7600400000001</v>
      </c>
      <c r="S17" s="44">
        <v>2522.3800350000001</v>
      </c>
      <c r="T17" s="44">
        <v>1939.4000209999999</v>
      </c>
      <c r="U17" s="44">
        <v>2776.6000210000002</v>
      </c>
      <c r="V17" s="44">
        <v>2386.4900130000001</v>
      </c>
      <c r="W17" s="44">
        <v>2984.3800350000001</v>
      </c>
      <c r="X17" s="44">
        <v>2241.2800219999999</v>
      </c>
      <c r="Y17" s="44"/>
      <c r="Z17" s="32">
        <v>58572.040437699994</v>
      </c>
      <c r="AA17" s="48"/>
    </row>
    <row r="18" spans="1:27" ht="15.75" x14ac:dyDescent="0.25">
      <c r="A18" s="31" t="s">
        <v>90</v>
      </c>
      <c r="B18" s="44"/>
      <c r="C18" s="44"/>
      <c r="D18" s="44"/>
      <c r="E18" s="44">
        <v>72.800001140000006</v>
      </c>
      <c r="F18" s="44"/>
      <c r="G18" s="44">
        <v>342.88000299999999</v>
      </c>
      <c r="H18" s="44">
        <v>12.899999619999999</v>
      </c>
      <c r="I18" s="44"/>
      <c r="J18" s="44">
        <v>12.899999619999999</v>
      </c>
      <c r="K18" s="44">
        <v>12.899999619999999</v>
      </c>
      <c r="L18" s="44">
        <v>38.699998860000001</v>
      </c>
      <c r="M18" s="44">
        <v>12.899999619999999</v>
      </c>
      <c r="N18" s="44">
        <v>64.499998090000005</v>
      </c>
      <c r="O18" s="44">
        <v>38.699998860000001</v>
      </c>
      <c r="P18" s="44"/>
      <c r="Q18" s="44"/>
      <c r="R18" s="44">
        <v>38.699998860000001</v>
      </c>
      <c r="S18" s="44">
        <v>34.990001679999999</v>
      </c>
      <c r="T18" s="44">
        <v>12.899999619999999</v>
      </c>
      <c r="U18" s="44"/>
      <c r="V18" s="44">
        <v>25.799999239999998</v>
      </c>
      <c r="W18" s="44">
        <v>38.699998860000001</v>
      </c>
      <c r="X18" s="44"/>
      <c r="Y18" s="44"/>
      <c r="Z18" s="32">
        <v>760.2699966900002</v>
      </c>
      <c r="AA18" s="48"/>
    </row>
    <row r="19" spans="1:27" ht="15.75" x14ac:dyDescent="0.25">
      <c r="A19" s="31" t="s">
        <v>97</v>
      </c>
      <c r="B19" s="44"/>
      <c r="C19" s="44"/>
      <c r="D19" s="44"/>
      <c r="E19" s="44"/>
      <c r="F19" s="44">
        <v>695.59997559999999</v>
      </c>
      <c r="G19" s="44">
        <v>591.96000670000001</v>
      </c>
      <c r="H19" s="44">
        <v>1602.689957</v>
      </c>
      <c r="I19" s="44">
        <v>1620.4999749999999</v>
      </c>
      <c r="J19" s="44">
        <v>1992.299984</v>
      </c>
      <c r="K19" s="44">
        <v>93.599998470000003</v>
      </c>
      <c r="L19" s="44">
        <v>124.8000031</v>
      </c>
      <c r="M19" s="44">
        <v>1357.8099990000001</v>
      </c>
      <c r="N19" s="44">
        <v>4201.1700330000003</v>
      </c>
      <c r="O19" s="44">
        <v>4936.7199989999999</v>
      </c>
      <c r="P19" s="44">
        <v>6735.3000300000003</v>
      </c>
      <c r="Q19" s="44">
        <v>5827.5799710000001</v>
      </c>
      <c r="R19" s="44">
        <v>5303.9000230000001</v>
      </c>
      <c r="S19" s="44">
        <v>5639.5099769999997</v>
      </c>
      <c r="T19" s="44">
        <v>9318.4999769999995</v>
      </c>
      <c r="U19" s="44">
        <v>10155.27995</v>
      </c>
      <c r="V19" s="44">
        <v>9094.5899850000005</v>
      </c>
      <c r="W19" s="44">
        <v>6780.1499750000003</v>
      </c>
      <c r="X19" s="44">
        <v>7016.1599919999999</v>
      </c>
      <c r="Y19" s="44"/>
      <c r="Z19" s="32">
        <v>83088.119810870005</v>
      </c>
      <c r="AA19" s="48"/>
    </row>
    <row r="20" spans="1:27" ht="15.75" x14ac:dyDescent="0.25">
      <c r="A20" s="31" t="s">
        <v>122</v>
      </c>
      <c r="B20" s="44"/>
      <c r="C20" s="44"/>
      <c r="D20" s="44"/>
      <c r="E20" s="44"/>
      <c r="F20" s="44"/>
      <c r="G20" s="44"/>
      <c r="H20" s="44"/>
      <c r="I20" s="44"/>
      <c r="J20" s="44"/>
      <c r="K20" s="44">
        <v>225</v>
      </c>
      <c r="L20" s="44">
        <v>135</v>
      </c>
      <c r="M20" s="44"/>
      <c r="N20" s="44">
        <v>45</v>
      </c>
      <c r="O20" s="44">
        <v>195</v>
      </c>
      <c r="P20" s="44">
        <v>65</v>
      </c>
      <c r="Q20" s="44"/>
      <c r="R20" s="44"/>
      <c r="S20" s="44"/>
      <c r="T20" s="44">
        <v>65</v>
      </c>
      <c r="U20" s="44"/>
      <c r="V20" s="44"/>
      <c r="W20" s="44"/>
      <c r="X20" s="44"/>
      <c r="Y20" s="44"/>
      <c r="Z20" s="32">
        <v>730</v>
      </c>
      <c r="AA20" s="48"/>
    </row>
    <row r="21" spans="1:27" ht="15.75" x14ac:dyDescent="0.25">
      <c r="A21" s="31" t="s">
        <v>102</v>
      </c>
      <c r="B21" s="44"/>
      <c r="C21" s="44"/>
      <c r="D21" s="44"/>
      <c r="E21" s="44"/>
      <c r="F21" s="44">
        <v>59</v>
      </c>
      <c r="G21" s="44"/>
      <c r="H21" s="44">
        <v>118</v>
      </c>
      <c r="I21" s="44">
        <v>59</v>
      </c>
      <c r="J21" s="44">
        <v>79</v>
      </c>
      <c r="K21" s="44"/>
      <c r="L21" s="44"/>
      <c r="M21" s="44">
        <v>69</v>
      </c>
      <c r="N21" s="44">
        <v>69</v>
      </c>
      <c r="O21" s="44">
        <v>242</v>
      </c>
      <c r="P21" s="44"/>
      <c r="Q21" s="44">
        <v>199.97999569999999</v>
      </c>
      <c r="R21" s="44">
        <v>227.98999789999999</v>
      </c>
      <c r="S21" s="44">
        <v>711.78998950000005</v>
      </c>
      <c r="T21" s="44">
        <v>521.73999790000005</v>
      </c>
      <c r="U21" s="44">
        <v>2277.2899779999998</v>
      </c>
      <c r="V21" s="44">
        <v>435.8500032</v>
      </c>
      <c r="W21" s="44">
        <v>1178.5399910000001</v>
      </c>
      <c r="X21" s="44">
        <v>685.28000450000002</v>
      </c>
      <c r="Y21" s="44"/>
      <c r="Z21" s="32">
        <v>6933.4599577000008</v>
      </c>
      <c r="AA21" s="48"/>
    </row>
    <row r="22" spans="1:27" ht="15.75" x14ac:dyDescent="0.25">
      <c r="A22" s="31" t="s">
        <v>54</v>
      </c>
      <c r="B22" s="44"/>
      <c r="C22" s="44">
        <v>1707.089935</v>
      </c>
      <c r="D22" s="44"/>
      <c r="E22" s="44">
        <v>663.69998169999997</v>
      </c>
      <c r="F22" s="44">
        <v>3095.2999570000002</v>
      </c>
      <c r="G22" s="44">
        <v>4103.8099819999998</v>
      </c>
      <c r="H22" s="44">
        <v>2582.2300110000001</v>
      </c>
      <c r="I22" s="44">
        <v>1016.769999</v>
      </c>
      <c r="J22" s="44">
        <v>2084.4800190000001</v>
      </c>
      <c r="K22" s="44">
        <v>1396.0999890000001</v>
      </c>
      <c r="L22" s="44">
        <v>4271.7299190000003</v>
      </c>
      <c r="M22" s="44">
        <v>1731.04998</v>
      </c>
      <c r="N22" s="44">
        <v>2562.4199829999998</v>
      </c>
      <c r="O22" s="44">
        <v>4076.619995</v>
      </c>
      <c r="P22" s="44">
        <v>668.79998780000005</v>
      </c>
      <c r="Q22" s="44">
        <v>4674.7399770000002</v>
      </c>
      <c r="R22" s="44">
        <v>2626.8900130000002</v>
      </c>
      <c r="S22" s="44">
        <v>2667.5799940000002</v>
      </c>
      <c r="T22" s="44">
        <v>3261.789976</v>
      </c>
      <c r="U22" s="44">
        <v>2051.1999890000002</v>
      </c>
      <c r="V22" s="44">
        <v>3567.8999979999999</v>
      </c>
      <c r="W22" s="44">
        <v>2657.8600120000001</v>
      </c>
      <c r="X22" s="44">
        <v>3556.9000169999999</v>
      </c>
      <c r="Y22" s="44"/>
      <c r="Z22" s="32">
        <v>55024.959714500008</v>
      </c>
      <c r="AA22" s="48"/>
    </row>
    <row r="23" spans="1:27" ht="15.75" x14ac:dyDescent="0.25">
      <c r="A23" s="31" t="s">
        <v>50</v>
      </c>
      <c r="B23" s="44"/>
      <c r="C23" s="44">
        <v>3882.2599909999999</v>
      </c>
      <c r="D23" s="44"/>
      <c r="E23" s="44">
        <v>5954.2000099999996</v>
      </c>
      <c r="F23" s="44">
        <v>4294.7699549999998</v>
      </c>
      <c r="G23" s="44">
        <v>10768.84001</v>
      </c>
      <c r="H23" s="44">
        <v>3772.8800299999998</v>
      </c>
      <c r="I23" s="44">
        <v>2507.2000200000002</v>
      </c>
      <c r="J23" s="44">
        <v>5389.02009</v>
      </c>
      <c r="K23" s="44">
        <v>5680.1600040000003</v>
      </c>
      <c r="L23" s="44">
        <v>8824.2499449999996</v>
      </c>
      <c r="M23" s="44">
        <v>8910.3699799999995</v>
      </c>
      <c r="N23" s="44">
        <v>10608.869979999999</v>
      </c>
      <c r="O23" s="44">
        <v>12608.87997</v>
      </c>
      <c r="P23" s="44">
        <v>9075.0099950000003</v>
      </c>
      <c r="Q23" s="44">
        <v>8200.9800149999992</v>
      </c>
      <c r="R23" s="44">
        <v>11978.73007</v>
      </c>
      <c r="S23" s="44">
        <v>11858.72035</v>
      </c>
      <c r="T23" s="44">
        <v>7239.4000079999996</v>
      </c>
      <c r="U23" s="44">
        <v>5664.07</v>
      </c>
      <c r="V23" s="44">
        <v>6903.01</v>
      </c>
      <c r="W23" s="44">
        <v>8519.1100179999994</v>
      </c>
      <c r="X23" s="44">
        <v>4824.4899640000003</v>
      </c>
      <c r="Y23" s="44"/>
      <c r="Z23" s="32">
        <v>157465.22040500003</v>
      </c>
      <c r="AA23" s="48"/>
    </row>
    <row r="24" spans="1:27" ht="15.75" x14ac:dyDescent="0.25">
      <c r="A24" s="31" t="s">
        <v>85</v>
      </c>
      <c r="B24" s="44"/>
      <c r="C24" s="44"/>
      <c r="D24" s="44"/>
      <c r="E24" s="44">
        <v>310</v>
      </c>
      <c r="F24" s="44">
        <v>336.78998949999999</v>
      </c>
      <c r="G24" s="44">
        <v>773.40000150000003</v>
      </c>
      <c r="H24" s="44"/>
      <c r="I24" s="44">
        <v>99.989997860000003</v>
      </c>
      <c r="J24" s="44">
        <v>376.36999509999998</v>
      </c>
      <c r="K24" s="44">
        <v>549.43999099999996</v>
      </c>
      <c r="L24" s="44">
        <v>1180.000004</v>
      </c>
      <c r="M24" s="44">
        <v>1289.1999860000001</v>
      </c>
      <c r="N24" s="44">
        <v>2576.180014</v>
      </c>
      <c r="O24" s="44">
        <v>6993.5600260000001</v>
      </c>
      <c r="P24" s="44">
        <v>5830.3499789999996</v>
      </c>
      <c r="Q24" s="44">
        <v>9664.1800270000003</v>
      </c>
      <c r="R24" s="44">
        <v>9003.9700150000008</v>
      </c>
      <c r="S24" s="44">
        <v>10549.379989999999</v>
      </c>
      <c r="T24" s="44">
        <v>13293.829970000001</v>
      </c>
      <c r="U24" s="44">
        <v>20748.599890000001</v>
      </c>
      <c r="V24" s="44">
        <v>22947.719929999999</v>
      </c>
      <c r="W24" s="44">
        <v>15237.47006</v>
      </c>
      <c r="X24" s="44">
        <v>22917.16001</v>
      </c>
      <c r="Y24" s="44"/>
      <c r="Z24" s="32">
        <v>144677.58987595999</v>
      </c>
      <c r="AA24" s="48"/>
    </row>
    <row r="25" spans="1:27" ht="15.75" x14ac:dyDescent="0.25">
      <c r="A25" s="31" t="s">
        <v>110</v>
      </c>
      <c r="B25" s="44"/>
      <c r="C25" s="44"/>
      <c r="D25" s="44"/>
      <c r="E25" s="44"/>
      <c r="F25" s="44"/>
      <c r="G25" s="44"/>
      <c r="H25" s="44">
        <v>729</v>
      </c>
      <c r="I25" s="44">
        <v>803.90000150000003</v>
      </c>
      <c r="J25" s="44"/>
      <c r="K25" s="44"/>
      <c r="L25" s="44"/>
      <c r="M25" s="44">
        <v>916.88999369999999</v>
      </c>
      <c r="N25" s="44">
        <v>1018.599993</v>
      </c>
      <c r="O25" s="44">
        <v>269.4999924</v>
      </c>
      <c r="P25" s="44">
        <v>349.399992</v>
      </c>
      <c r="Q25" s="44">
        <v>532.29998780000005</v>
      </c>
      <c r="R25" s="44">
        <v>1318.199991</v>
      </c>
      <c r="S25" s="44">
        <v>931.29999729999997</v>
      </c>
      <c r="T25" s="44">
        <v>1332.9900150000001</v>
      </c>
      <c r="U25" s="44">
        <v>417.90000149999997</v>
      </c>
      <c r="V25" s="44">
        <v>527</v>
      </c>
      <c r="W25" s="44">
        <v>5501.1999969999997</v>
      </c>
      <c r="X25" s="44">
        <v>1255.7700170000001</v>
      </c>
      <c r="Y25" s="44"/>
      <c r="Z25" s="32">
        <v>15903.949979200001</v>
      </c>
      <c r="AA25" s="48"/>
    </row>
    <row r="26" spans="1:27" ht="15.75" x14ac:dyDescent="0.25">
      <c r="A26" s="31" t="s">
        <v>121</v>
      </c>
      <c r="B26" s="44"/>
      <c r="C26" s="44"/>
      <c r="D26" s="44"/>
      <c r="E26" s="44"/>
      <c r="F26" s="44"/>
      <c r="G26" s="44"/>
      <c r="H26" s="44"/>
      <c r="I26" s="44"/>
      <c r="J26" s="44"/>
      <c r="K26" s="44">
        <v>360</v>
      </c>
      <c r="L26" s="44">
        <v>589</v>
      </c>
      <c r="M26" s="44">
        <v>229</v>
      </c>
      <c r="N26" s="44">
        <v>500</v>
      </c>
      <c r="O26" s="44">
        <v>2199.48</v>
      </c>
      <c r="P26" s="44">
        <v>176</v>
      </c>
      <c r="Q26" s="44">
        <v>2392.990002</v>
      </c>
      <c r="R26" s="44">
        <v>1610.8000050000001</v>
      </c>
      <c r="S26" s="44">
        <v>2536.7000050000001</v>
      </c>
      <c r="T26" s="44">
        <v>4962.6700099999998</v>
      </c>
      <c r="U26" s="44">
        <v>5477.8100489999997</v>
      </c>
      <c r="V26" s="44">
        <v>4583.4100420000004</v>
      </c>
      <c r="W26" s="44">
        <v>7249.6100120000001</v>
      </c>
      <c r="X26" s="44">
        <v>8212.5300200000001</v>
      </c>
      <c r="Y26" s="44"/>
      <c r="Z26" s="32">
        <v>41080.000144999998</v>
      </c>
      <c r="AA26" s="48"/>
    </row>
    <row r="27" spans="1:27" ht="15.75" x14ac:dyDescent="0.25">
      <c r="A27" s="31" t="s">
        <v>98</v>
      </c>
      <c r="B27" s="44"/>
      <c r="C27" s="44"/>
      <c r="D27" s="44"/>
      <c r="E27" s="44"/>
      <c r="F27" s="44">
        <v>579.97998050000001</v>
      </c>
      <c r="G27" s="44"/>
      <c r="H27" s="44">
        <v>1490.2100559999999</v>
      </c>
      <c r="I27" s="44">
        <v>1577.240049</v>
      </c>
      <c r="J27" s="44">
        <v>434.68999860000002</v>
      </c>
      <c r="K27" s="44">
        <v>347.58000559999999</v>
      </c>
      <c r="L27" s="44">
        <v>1286.190006</v>
      </c>
      <c r="M27" s="44">
        <v>297.5000076</v>
      </c>
      <c r="N27" s="44">
        <v>746.90000339999995</v>
      </c>
      <c r="O27" s="44">
        <v>1218.500004</v>
      </c>
      <c r="P27" s="44">
        <v>928.90000339999995</v>
      </c>
      <c r="Q27" s="44">
        <v>3927.9800009999999</v>
      </c>
      <c r="R27" s="44">
        <v>1538.2499789999999</v>
      </c>
      <c r="S27" s="44">
        <v>2497.2299710000002</v>
      </c>
      <c r="T27" s="44">
        <v>1326.7900010000001</v>
      </c>
      <c r="U27" s="44">
        <v>1073.2800050000001</v>
      </c>
      <c r="V27" s="44">
        <v>799.44000430000006</v>
      </c>
      <c r="W27" s="44">
        <v>1956.4700089999999</v>
      </c>
      <c r="X27" s="44">
        <v>3688.759998</v>
      </c>
      <c r="Y27" s="44"/>
      <c r="Z27" s="32">
        <v>25715.890082400001</v>
      </c>
      <c r="AA27" s="48"/>
    </row>
    <row r="28" spans="1:27" ht="15.75" x14ac:dyDescent="0.25">
      <c r="A28" s="31" t="s">
        <v>100</v>
      </c>
      <c r="B28" s="44"/>
      <c r="C28" s="44"/>
      <c r="D28" s="44"/>
      <c r="E28" s="44"/>
      <c r="F28" s="44">
        <v>379</v>
      </c>
      <c r="G28" s="44">
        <v>380</v>
      </c>
      <c r="H28" s="44"/>
      <c r="I28" s="44"/>
      <c r="J28" s="44"/>
      <c r="K28" s="44"/>
      <c r="L28" s="44">
        <v>8.8999996190000008</v>
      </c>
      <c r="M28" s="44">
        <v>1124.539984</v>
      </c>
      <c r="N28" s="44">
        <v>1668.8499810000001</v>
      </c>
      <c r="O28" s="44">
        <v>3318.5899490000002</v>
      </c>
      <c r="P28" s="44">
        <v>1384.919991</v>
      </c>
      <c r="Q28" s="44">
        <v>2228.8899970000002</v>
      </c>
      <c r="R28" s="44">
        <v>5965.7498530000003</v>
      </c>
      <c r="S28" s="44">
        <v>5374.8700349999999</v>
      </c>
      <c r="T28" s="44">
        <v>2887.26001</v>
      </c>
      <c r="U28" s="44">
        <v>7298.5099529999998</v>
      </c>
      <c r="V28" s="44">
        <v>2565.3700009999998</v>
      </c>
      <c r="W28" s="44">
        <v>1888.9499989999999</v>
      </c>
      <c r="X28" s="44">
        <v>4070.1199929999998</v>
      </c>
      <c r="Y28" s="44"/>
      <c r="Z28" s="32">
        <v>40544.519745619</v>
      </c>
      <c r="AA28" s="48"/>
    </row>
    <row r="29" spans="1:27" ht="15.75" x14ac:dyDescent="0.25">
      <c r="A29" s="31" t="s">
        <v>62</v>
      </c>
      <c r="B29" s="44"/>
      <c r="C29" s="44">
        <v>1110.999992</v>
      </c>
      <c r="D29" s="44"/>
      <c r="E29" s="44">
        <v>7784.8700280000003</v>
      </c>
      <c r="F29" s="44">
        <v>13323.600109999999</v>
      </c>
      <c r="G29" s="44">
        <v>21095.210070000001</v>
      </c>
      <c r="H29" s="44">
        <v>21822.080170000001</v>
      </c>
      <c r="I29" s="44">
        <v>33696.470150000001</v>
      </c>
      <c r="J29" s="44">
        <v>38244.500099999997</v>
      </c>
      <c r="K29" s="44">
        <v>37506.760060000001</v>
      </c>
      <c r="L29" s="44">
        <v>41720.030059999997</v>
      </c>
      <c r="M29" s="44">
        <v>38210.33988</v>
      </c>
      <c r="N29" s="44">
        <v>44910.010040000001</v>
      </c>
      <c r="O29" s="44">
        <v>56295.240510000003</v>
      </c>
      <c r="P29" s="44">
        <v>39011.540130000001</v>
      </c>
      <c r="Q29" s="44">
        <v>39739.700199999999</v>
      </c>
      <c r="R29" s="44">
        <v>31002.210289999999</v>
      </c>
      <c r="S29" s="44">
        <v>38353.22019</v>
      </c>
      <c r="T29" s="44">
        <v>35202.399980000002</v>
      </c>
      <c r="U29" s="44">
        <v>30039.110049999999</v>
      </c>
      <c r="V29" s="44">
        <v>19316.37</v>
      </c>
      <c r="W29" s="44">
        <v>30551.60974</v>
      </c>
      <c r="X29" s="44">
        <v>16354.57994</v>
      </c>
      <c r="Y29" s="44"/>
      <c r="Z29" s="32">
        <v>635290.85169000004</v>
      </c>
      <c r="AA29" s="48"/>
    </row>
    <row r="30" spans="1:27" ht="15.75" x14ac:dyDescent="0.25">
      <c r="A30" s="31" t="s">
        <v>92</v>
      </c>
      <c r="B30" s="44"/>
      <c r="C30" s="44"/>
      <c r="D30" s="44"/>
      <c r="E30" s="44">
        <v>29.799999239999998</v>
      </c>
      <c r="F30" s="44">
        <v>14.899999619999999</v>
      </c>
      <c r="G30" s="44">
        <v>1873.6999989999999</v>
      </c>
      <c r="H30" s="44">
        <v>1434.9</v>
      </c>
      <c r="I30" s="44">
        <v>89.599998470000003</v>
      </c>
      <c r="J30" s="44">
        <v>126.68999669999999</v>
      </c>
      <c r="K30" s="44">
        <v>749.69999889999997</v>
      </c>
      <c r="L30" s="44">
        <v>113.3999977</v>
      </c>
      <c r="M30" s="44">
        <v>39.799999239999998</v>
      </c>
      <c r="N30" s="44">
        <v>194.5</v>
      </c>
      <c r="O30" s="44">
        <v>79.790000919999997</v>
      </c>
      <c r="P30" s="44">
        <v>119.9000015</v>
      </c>
      <c r="Q30" s="44">
        <v>49.799999239999998</v>
      </c>
      <c r="R30" s="44">
        <v>24.899999619999999</v>
      </c>
      <c r="S30" s="44">
        <v>49.799999239999998</v>
      </c>
      <c r="T30" s="44">
        <v>92.499998090000005</v>
      </c>
      <c r="U30" s="44">
        <v>439.93999480000002</v>
      </c>
      <c r="V30" s="44">
        <v>382.88000299999999</v>
      </c>
      <c r="W30" s="44">
        <v>83.989997860000003</v>
      </c>
      <c r="X30" s="44">
        <v>8.8999996190000008</v>
      </c>
      <c r="Y30" s="44"/>
      <c r="Z30" s="32">
        <v>5999.3899827590003</v>
      </c>
      <c r="AA30" s="48"/>
    </row>
    <row r="31" spans="1:27" ht="15.75" x14ac:dyDescent="0.25">
      <c r="A31" s="31" t="s">
        <v>96</v>
      </c>
      <c r="B31" s="44"/>
      <c r="C31" s="44"/>
      <c r="D31" s="44"/>
      <c r="E31" s="44"/>
      <c r="F31" s="44">
        <v>740.90000150000003</v>
      </c>
      <c r="G31" s="44">
        <v>313.30000690000003</v>
      </c>
      <c r="H31" s="44">
        <v>499.4000092</v>
      </c>
      <c r="I31" s="44">
        <v>1912.7900119999999</v>
      </c>
      <c r="J31" s="44">
        <v>2507.1900289999999</v>
      </c>
      <c r="K31" s="44">
        <v>3671.989994</v>
      </c>
      <c r="L31" s="44">
        <v>4587.0500670000001</v>
      </c>
      <c r="M31" s="44">
        <v>1820.1900009999999</v>
      </c>
      <c r="N31" s="44">
        <v>1951.080017</v>
      </c>
      <c r="O31" s="44">
        <v>4515.9400079999996</v>
      </c>
      <c r="P31" s="44">
        <v>1331.0000239999999</v>
      </c>
      <c r="Q31" s="44">
        <v>1795.0500199999999</v>
      </c>
      <c r="R31" s="44">
        <v>5583.7400129999996</v>
      </c>
      <c r="S31" s="44">
        <v>9876.5900199999996</v>
      </c>
      <c r="T31" s="44">
        <v>15124.24999</v>
      </c>
      <c r="U31" s="44">
        <v>6149.6700060000003</v>
      </c>
      <c r="V31" s="44">
        <v>5916.3699669999996</v>
      </c>
      <c r="W31" s="44">
        <v>5290.629997</v>
      </c>
      <c r="X31" s="44">
        <v>6584.4000130000004</v>
      </c>
      <c r="Y31" s="44"/>
      <c r="Z31" s="32">
        <v>80171.530195600004</v>
      </c>
      <c r="AA31" s="48"/>
    </row>
    <row r="32" spans="1:27" ht="15.75" x14ac:dyDescent="0.25">
      <c r="A32" s="31" t="s">
        <v>79</v>
      </c>
      <c r="B32" s="44"/>
      <c r="C32" s="44"/>
      <c r="D32" s="44"/>
      <c r="E32" s="44">
        <v>2126.6799810000002</v>
      </c>
      <c r="F32" s="44">
        <v>15.989999770000001</v>
      </c>
      <c r="G32" s="44">
        <v>500.8999996</v>
      </c>
      <c r="H32" s="44">
        <v>799.79998780000005</v>
      </c>
      <c r="I32" s="44">
        <v>3093.0399929999999</v>
      </c>
      <c r="J32" s="44">
        <v>1213.8699799999999</v>
      </c>
      <c r="K32" s="44">
        <v>1033.989998</v>
      </c>
      <c r="L32" s="44">
        <v>4004.5500339999999</v>
      </c>
      <c r="M32" s="44">
        <v>1627.799988</v>
      </c>
      <c r="N32" s="44">
        <v>2803.170036</v>
      </c>
      <c r="O32" s="44">
        <v>4854.9300800000001</v>
      </c>
      <c r="P32" s="44">
        <v>1990.159981</v>
      </c>
      <c r="Q32" s="44">
        <v>8630.1000060000006</v>
      </c>
      <c r="R32" s="44">
        <v>8998.8299979999993</v>
      </c>
      <c r="S32" s="44">
        <v>5648.1999889999997</v>
      </c>
      <c r="T32" s="44">
        <v>20741.689989999999</v>
      </c>
      <c r="U32" s="44">
        <v>14441.239949999999</v>
      </c>
      <c r="V32" s="44">
        <v>8312.7199949999995</v>
      </c>
      <c r="W32" s="44">
        <v>12597.31993</v>
      </c>
      <c r="X32" s="44">
        <v>9882.7599489999993</v>
      </c>
      <c r="Y32" s="44"/>
      <c r="Z32" s="32">
        <v>113317.73986517001</v>
      </c>
      <c r="AA32" s="48"/>
    </row>
    <row r="33" spans="1:27" ht="15.75" x14ac:dyDescent="0.25">
      <c r="A33" s="31" t="s">
        <v>58</v>
      </c>
      <c r="B33" s="44"/>
      <c r="C33" s="44">
        <v>1306.989998</v>
      </c>
      <c r="D33" s="44"/>
      <c r="E33" s="44">
        <v>617</v>
      </c>
      <c r="F33" s="44">
        <v>1218.8500059999999</v>
      </c>
      <c r="G33" s="44">
        <v>3985.9999849999999</v>
      </c>
      <c r="H33" s="44">
        <v>4822.2400440000001</v>
      </c>
      <c r="I33" s="44">
        <v>6709.1099620000005</v>
      </c>
      <c r="J33" s="44">
        <v>2100.039988</v>
      </c>
      <c r="K33" s="44">
        <v>7346.8400069999998</v>
      </c>
      <c r="L33" s="44">
        <v>2854.150032</v>
      </c>
      <c r="M33" s="44">
        <v>4338.959957</v>
      </c>
      <c r="N33" s="44">
        <v>3454.3200019999999</v>
      </c>
      <c r="O33" s="44">
        <v>10026.139950000001</v>
      </c>
      <c r="P33" s="44">
        <v>8537.5099320000008</v>
      </c>
      <c r="Q33" s="44">
        <v>15996.67992</v>
      </c>
      <c r="R33" s="44">
        <v>14780.59986</v>
      </c>
      <c r="S33" s="44">
        <v>12554.800010000001</v>
      </c>
      <c r="T33" s="44">
        <v>11022.42992</v>
      </c>
      <c r="U33" s="44">
        <v>16989.289919999999</v>
      </c>
      <c r="V33" s="44">
        <v>9664.5699449999993</v>
      </c>
      <c r="W33" s="44">
        <v>11150.749980000001</v>
      </c>
      <c r="X33" s="44">
        <v>10769.46999</v>
      </c>
      <c r="Y33" s="44"/>
      <c r="Z33" s="32">
        <v>160246.73940799999</v>
      </c>
      <c r="AA33" s="48"/>
    </row>
    <row r="34" spans="1:27" ht="15.75" x14ac:dyDescent="0.25">
      <c r="A34" s="31" t="s">
        <v>80</v>
      </c>
      <c r="B34" s="44"/>
      <c r="C34" s="44"/>
      <c r="D34" s="44"/>
      <c r="E34" s="44">
        <v>1660.7900010000001</v>
      </c>
      <c r="F34" s="44">
        <v>7251.580027</v>
      </c>
      <c r="G34" s="44">
        <v>11171.060009999999</v>
      </c>
      <c r="H34" s="44">
        <v>23253.98</v>
      </c>
      <c r="I34" s="44">
        <v>5241.4400180000002</v>
      </c>
      <c r="J34" s="44">
        <v>9698.8100009999998</v>
      </c>
      <c r="K34" s="44">
        <v>4621.3599640000002</v>
      </c>
      <c r="L34" s="44">
        <v>4297.0099980000005</v>
      </c>
      <c r="M34" s="44">
        <v>10965.62995</v>
      </c>
      <c r="N34" s="44">
        <v>6464.849964</v>
      </c>
      <c r="O34" s="44">
        <v>7826.8199770000001</v>
      </c>
      <c r="P34" s="44">
        <v>8913.7699790000006</v>
      </c>
      <c r="Q34" s="44">
        <v>15450.75999</v>
      </c>
      <c r="R34" s="44">
        <v>5245.1600550000003</v>
      </c>
      <c r="S34" s="44">
        <v>14260.150019999999</v>
      </c>
      <c r="T34" s="44">
        <v>12211.409949999999</v>
      </c>
      <c r="U34" s="44">
        <v>10620.990019999999</v>
      </c>
      <c r="V34" s="44">
        <v>16022.7</v>
      </c>
      <c r="W34" s="44">
        <v>8711.2500779999991</v>
      </c>
      <c r="X34" s="44">
        <v>6759.0599769999999</v>
      </c>
      <c r="Y34" s="44"/>
      <c r="Z34" s="32">
        <v>190648.57997900003</v>
      </c>
      <c r="AA34" s="48"/>
    </row>
    <row r="35" spans="1:27" ht="15.75" x14ac:dyDescent="0.25">
      <c r="A35" s="31" t="s">
        <v>52</v>
      </c>
      <c r="B35" s="44"/>
      <c r="C35" s="44">
        <v>3333.640003</v>
      </c>
      <c r="D35" s="44"/>
      <c r="E35" s="44">
        <v>9717.6199739999993</v>
      </c>
      <c r="F35" s="44">
        <v>16372.16001</v>
      </c>
      <c r="G35" s="44">
        <v>27001.589960000001</v>
      </c>
      <c r="H35" s="44">
        <v>24864.33</v>
      </c>
      <c r="I35" s="44">
        <v>36163.499920000002</v>
      </c>
      <c r="J35" s="44">
        <v>32898.329899999997</v>
      </c>
      <c r="K35" s="44">
        <v>38813.409970000001</v>
      </c>
      <c r="L35" s="44">
        <v>41732.26008</v>
      </c>
      <c r="M35" s="44">
        <v>50167.479959999997</v>
      </c>
      <c r="N35" s="44">
        <v>49751.449890000004</v>
      </c>
      <c r="O35" s="44">
        <v>64874.05</v>
      </c>
      <c r="P35" s="44">
        <v>59792.65999</v>
      </c>
      <c r="Q35" s="44">
        <v>91574.329920000004</v>
      </c>
      <c r="R35" s="44">
        <v>75863.949930000002</v>
      </c>
      <c r="S35" s="44">
        <v>85292.169850000006</v>
      </c>
      <c r="T35" s="44">
        <v>67528.07978</v>
      </c>
      <c r="U35" s="44">
        <v>59664.109909999999</v>
      </c>
      <c r="V35" s="44">
        <v>45851.00993</v>
      </c>
      <c r="W35" s="44">
        <v>55292.680009999996</v>
      </c>
      <c r="X35" s="44">
        <v>51500.159890000003</v>
      </c>
      <c r="Y35" s="44"/>
      <c r="Z35" s="32">
        <v>988048.96887700004</v>
      </c>
      <c r="AA35" s="48"/>
    </row>
    <row r="36" spans="1:27" ht="15.75" x14ac:dyDescent="0.25">
      <c r="A36" s="31" t="s">
        <v>65</v>
      </c>
      <c r="B36" s="44"/>
      <c r="C36" s="44">
        <v>508.30000310000003</v>
      </c>
      <c r="D36" s="44">
        <v>10.899999619999999</v>
      </c>
      <c r="E36" s="44">
        <v>1671.970016</v>
      </c>
      <c r="F36" s="44">
        <v>2374.1100200000001</v>
      </c>
      <c r="G36" s="44">
        <v>4861.1600070000004</v>
      </c>
      <c r="H36" s="44">
        <v>3219.8000200000001</v>
      </c>
      <c r="I36" s="44">
        <v>7498.6700330000003</v>
      </c>
      <c r="J36" s="44">
        <v>6831.0300159999997</v>
      </c>
      <c r="K36" s="44">
        <v>5193.1000610000001</v>
      </c>
      <c r="L36" s="44">
        <v>6617.6800480000002</v>
      </c>
      <c r="M36" s="44">
        <v>11948.21996</v>
      </c>
      <c r="N36" s="44">
        <v>7906.0600189999996</v>
      </c>
      <c r="O36" s="44">
        <v>13414.89004</v>
      </c>
      <c r="P36" s="44">
        <v>10028.460010000001</v>
      </c>
      <c r="Q36" s="44">
        <v>7931.7200080000002</v>
      </c>
      <c r="R36" s="44">
        <v>9786.6300229999997</v>
      </c>
      <c r="S36" s="44">
        <v>10261.57999</v>
      </c>
      <c r="T36" s="44">
        <v>9030.8500230000009</v>
      </c>
      <c r="U36" s="44">
        <v>11519.16</v>
      </c>
      <c r="V36" s="44">
        <v>7869.9500479999997</v>
      </c>
      <c r="W36" s="44">
        <v>6161.8700200000003</v>
      </c>
      <c r="X36" s="44">
        <v>8177.4300370000001</v>
      </c>
      <c r="Y36" s="44"/>
      <c r="Z36" s="32">
        <v>152823.54040172003</v>
      </c>
      <c r="AA36" s="48"/>
    </row>
    <row r="37" spans="1:27" ht="15.75" x14ac:dyDescent="0.25">
      <c r="A37" s="31" t="s">
        <v>74</v>
      </c>
      <c r="B37" s="44"/>
      <c r="C37" s="44">
        <v>29.989999770000001</v>
      </c>
      <c r="D37" s="44"/>
      <c r="E37" s="44">
        <v>34.900001529999997</v>
      </c>
      <c r="F37" s="44">
        <v>107.0500031</v>
      </c>
      <c r="G37" s="44">
        <v>1514.9999809999999</v>
      </c>
      <c r="H37" s="44">
        <v>1526.499998</v>
      </c>
      <c r="I37" s="44">
        <v>1669.5400030000001</v>
      </c>
      <c r="J37" s="44">
        <v>1351.1999929999999</v>
      </c>
      <c r="K37" s="44">
        <v>1423.009998</v>
      </c>
      <c r="L37" s="44">
        <v>1491.69002</v>
      </c>
      <c r="M37" s="44">
        <v>1179.6000019999999</v>
      </c>
      <c r="N37" s="44">
        <v>1860.9200040000001</v>
      </c>
      <c r="O37" s="44">
        <v>1777.700008</v>
      </c>
      <c r="P37" s="44">
        <v>1098.999996</v>
      </c>
      <c r="Q37" s="44">
        <v>666.70000270000003</v>
      </c>
      <c r="R37" s="44">
        <v>1033.6999860000001</v>
      </c>
      <c r="S37" s="44">
        <v>1252.799994</v>
      </c>
      <c r="T37" s="44">
        <v>1438.6999740000001</v>
      </c>
      <c r="U37" s="44">
        <v>1582.699989</v>
      </c>
      <c r="V37" s="44">
        <v>1230.5799979999999</v>
      </c>
      <c r="W37" s="44">
        <v>820.18998720000002</v>
      </c>
      <c r="X37" s="44">
        <v>471.29999350000003</v>
      </c>
      <c r="Y37" s="44"/>
      <c r="Z37" s="32">
        <v>23562.769931800001</v>
      </c>
      <c r="AA37" s="48"/>
    </row>
    <row r="38" spans="1:27" ht="15.75" x14ac:dyDescent="0.25">
      <c r="A38" s="31" t="s">
        <v>108</v>
      </c>
      <c r="B38" s="44"/>
      <c r="C38" s="44"/>
      <c r="D38" s="44"/>
      <c r="E38" s="44"/>
      <c r="F38" s="44"/>
      <c r="G38" s="44">
        <v>39.900001529999997</v>
      </c>
      <c r="H38" s="44">
        <v>189.78000069999999</v>
      </c>
      <c r="I38" s="44">
        <v>124.84000210000001</v>
      </c>
      <c r="J38" s="44">
        <v>495.48999980000002</v>
      </c>
      <c r="K38" s="44">
        <v>69.900001529999997</v>
      </c>
      <c r="L38" s="44">
        <v>265.7999954</v>
      </c>
      <c r="M38" s="44">
        <v>384.60000609999997</v>
      </c>
      <c r="N38" s="44">
        <v>59.900001529999997</v>
      </c>
      <c r="O38" s="44">
        <v>59.900001529999997</v>
      </c>
      <c r="P38" s="44">
        <v>59.900001529999997</v>
      </c>
      <c r="Q38" s="44">
        <v>119.8000031</v>
      </c>
      <c r="R38" s="44"/>
      <c r="S38" s="44">
        <v>89.900001529999997</v>
      </c>
      <c r="T38" s="44">
        <v>89.900001529999997</v>
      </c>
      <c r="U38" s="44"/>
      <c r="V38" s="44"/>
      <c r="W38" s="44"/>
      <c r="X38" s="44">
        <v>69.900001529999997</v>
      </c>
      <c r="Y38" s="44"/>
      <c r="Z38" s="32">
        <v>2119.5100194399997</v>
      </c>
      <c r="AA38" s="48"/>
    </row>
    <row r="39" spans="1:27" ht="15.75" x14ac:dyDescent="0.25">
      <c r="A39" s="31" t="s">
        <v>73</v>
      </c>
      <c r="B39" s="44"/>
      <c r="C39" s="44">
        <v>54.900001529999997</v>
      </c>
      <c r="D39" s="44"/>
      <c r="E39" s="44">
        <v>77.300001140000006</v>
      </c>
      <c r="F39" s="44">
        <v>457.7999954</v>
      </c>
      <c r="G39" s="44">
        <v>19.899999619999999</v>
      </c>
      <c r="H39" s="44">
        <v>64.900001529999997</v>
      </c>
      <c r="I39" s="44">
        <v>422.3999996</v>
      </c>
      <c r="J39" s="44">
        <v>154.8000011</v>
      </c>
      <c r="K39" s="44">
        <v>310.69999689999997</v>
      </c>
      <c r="L39" s="44">
        <v>188.7000027</v>
      </c>
      <c r="M39" s="44">
        <v>355.69999689999997</v>
      </c>
      <c r="N39" s="44"/>
      <c r="O39" s="44">
        <v>79.879999159999997</v>
      </c>
      <c r="P39" s="44"/>
      <c r="Q39" s="44">
        <v>161.7900028</v>
      </c>
      <c r="R39" s="44">
        <v>29.989999770000001</v>
      </c>
      <c r="S39" s="44">
        <v>119.9599991</v>
      </c>
      <c r="T39" s="44">
        <v>174.9500084</v>
      </c>
      <c r="U39" s="44"/>
      <c r="V39" s="44"/>
      <c r="W39" s="44"/>
      <c r="X39" s="44">
        <v>129.97000499999999</v>
      </c>
      <c r="Y39" s="44"/>
      <c r="Z39" s="32">
        <v>2803.6400106499996</v>
      </c>
      <c r="AA39" s="48"/>
    </row>
    <row r="40" spans="1:27" ht="15.75" x14ac:dyDescent="0.25">
      <c r="A40" s="31" t="s">
        <v>116</v>
      </c>
      <c r="B40" s="44"/>
      <c r="C40" s="44"/>
      <c r="D40" s="44"/>
      <c r="E40" s="44"/>
      <c r="F40" s="44"/>
      <c r="G40" s="44"/>
      <c r="H40" s="44"/>
      <c r="I40" s="44">
        <v>110</v>
      </c>
      <c r="J40" s="44">
        <v>110</v>
      </c>
      <c r="K40" s="44"/>
      <c r="L40" s="44">
        <v>49.900001529999997</v>
      </c>
      <c r="M40" s="44">
        <v>89.989997860000003</v>
      </c>
      <c r="N40" s="44">
        <v>39.990001679999999</v>
      </c>
      <c r="O40" s="44"/>
      <c r="P40" s="44"/>
      <c r="Q40" s="44"/>
      <c r="R40" s="44"/>
      <c r="S40" s="44">
        <v>79.980003359999998</v>
      </c>
      <c r="T40" s="44"/>
      <c r="U40" s="44"/>
      <c r="V40" s="44">
        <v>89.989997860000003</v>
      </c>
      <c r="W40" s="44"/>
      <c r="X40" s="44"/>
      <c r="Y40" s="44"/>
      <c r="Z40" s="32">
        <v>569.85000229000002</v>
      </c>
      <c r="AA40" s="48"/>
    </row>
    <row r="41" spans="1:27" ht="15.75" x14ac:dyDescent="0.25">
      <c r="A41" s="31" t="s">
        <v>75</v>
      </c>
      <c r="B41" s="44"/>
      <c r="C41" s="44">
        <v>24.899999619999999</v>
      </c>
      <c r="D41" s="44"/>
      <c r="E41" s="44">
        <v>126.9000015</v>
      </c>
      <c r="F41" s="44">
        <v>642.84999849999997</v>
      </c>
      <c r="G41" s="44">
        <v>580.79999729999997</v>
      </c>
      <c r="H41" s="44">
        <v>416.68999669999999</v>
      </c>
      <c r="I41" s="44">
        <v>608.89999390000003</v>
      </c>
      <c r="J41" s="44">
        <v>569.69001200000002</v>
      </c>
      <c r="K41" s="44">
        <v>719.98999979999996</v>
      </c>
      <c r="L41" s="44">
        <v>1205.0500199999999</v>
      </c>
      <c r="M41" s="44">
        <v>1177.5000150000001</v>
      </c>
      <c r="N41" s="44">
        <v>1041.799988</v>
      </c>
      <c r="O41" s="44">
        <v>929.98998830000005</v>
      </c>
      <c r="P41" s="44">
        <v>450.89000320000002</v>
      </c>
      <c r="Q41" s="44">
        <v>550.60000609999997</v>
      </c>
      <c r="R41" s="44">
        <v>388.08999249999999</v>
      </c>
      <c r="S41" s="44"/>
      <c r="T41" s="44">
        <v>195</v>
      </c>
      <c r="U41" s="44">
        <v>129.9900055</v>
      </c>
      <c r="V41" s="44">
        <v>447.80000310000003</v>
      </c>
      <c r="W41" s="44">
        <v>208.7000027</v>
      </c>
      <c r="X41" s="44">
        <v>381.69001009999999</v>
      </c>
      <c r="Y41" s="44"/>
      <c r="Z41" s="32">
        <v>10797.820033819995</v>
      </c>
      <c r="AA41" s="48"/>
    </row>
    <row r="42" spans="1:27" ht="15.75" x14ac:dyDescent="0.25">
      <c r="A42" s="31" t="s">
        <v>87</v>
      </c>
      <c r="B42" s="44"/>
      <c r="C42" s="44"/>
      <c r="D42" s="44"/>
      <c r="E42" s="44">
        <v>137.25</v>
      </c>
      <c r="F42" s="44">
        <v>396.96999929999998</v>
      </c>
      <c r="G42" s="44">
        <v>394.13999990000002</v>
      </c>
      <c r="H42" s="44">
        <v>98.789999960000003</v>
      </c>
      <c r="I42" s="44">
        <v>283.5000005</v>
      </c>
      <c r="J42" s="44">
        <v>3.9000000950000002</v>
      </c>
      <c r="K42" s="44">
        <v>274.80000310000003</v>
      </c>
      <c r="L42" s="44">
        <v>1111.0000150000001</v>
      </c>
      <c r="M42" s="44">
        <v>1789.70002</v>
      </c>
      <c r="N42" s="44">
        <v>187.8000011</v>
      </c>
      <c r="O42" s="44">
        <v>1221.6000059999999</v>
      </c>
      <c r="P42" s="44">
        <v>1173.1000100000001</v>
      </c>
      <c r="Q42" s="44">
        <v>754.5000076</v>
      </c>
      <c r="R42" s="44">
        <v>399.30001069999997</v>
      </c>
      <c r="S42" s="44">
        <v>289.40000529999998</v>
      </c>
      <c r="T42" s="44">
        <v>359.4000092</v>
      </c>
      <c r="U42" s="44">
        <v>207.4000063</v>
      </c>
      <c r="V42" s="44">
        <v>129.3000035</v>
      </c>
      <c r="W42" s="44">
        <v>109.8000031</v>
      </c>
      <c r="X42" s="44">
        <v>219.9000015</v>
      </c>
      <c r="Y42" s="44"/>
      <c r="Z42" s="32">
        <v>9541.5501021550008</v>
      </c>
      <c r="AA42" s="48"/>
    </row>
    <row r="43" spans="1:27" ht="15.75" x14ac:dyDescent="0.25">
      <c r="A43" s="31" t="s">
        <v>57</v>
      </c>
      <c r="B43" s="44"/>
      <c r="C43" s="44">
        <v>1359.879997</v>
      </c>
      <c r="D43" s="44"/>
      <c r="E43" s="44">
        <v>8152.7500289999998</v>
      </c>
      <c r="F43" s="44">
        <v>13144.609990000001</v>
      </c>
      <c r="G43" s="44">
        <v>23747.150010000001</v>
      </c>
      <c r="H43" s="44">
        <v>20809.279979999999</v>
      </c>
      <c r="I43" s="44">
        <v>20693.459989999999</v>
      </c>
      <c r="J43" s="44">
        <v>15851.16999</v>
      </c>
      <c r="K43" s="44">
        <v>20067.050019999999</v>
      </c>
      <c r="L43" s="44">
        <v>24269.400170000001</v>
      </c>
      <c r="M43" s="44">
        <v>22507.230169999999</v>
      </c>
      <c r="N43" s="44">
        <v>25978.74022</v>
      </c>
      <c r="O43" s="44">
        <v>45972.180209999999</v>
      </c>
      <c r="P43" s="44">
        <v>27689.690070000001</v>
      </c>
      <c r="Q43" s="44">
        <v>27037.94023</v>
      </c>
      <c r="R43" s="44">
        <v>26838.03026</v>
      </c>
      <c r="S43" s="44">
        <v>27612.250209999998</v>
      </c>
      <c r="T43" s="44">
        <v>35037.640180000002</v>
      </c>
      <c r="U43" s="44">
        <v>37863.180209999999</v>
      </c>
      <c r="V43" s="44">
        <v>18018.710029999998</v>
      </c>
      <c r="W43" s="44">
        <v>26173.780040000001</v>
      </c>
      <c r="X43" s="44">
        <v>16432.340029999999</v>
      </c>
      <c r="Y43" s="44"/>
      <c r="Z43" s="32">
        <v>485256.46203599998</v>
      </c>
      <c r="AA43" s="48"/>
    </row>
    <row r="44" spans="1:27" ht="15.75" x14ac:dyDescent="0.25">
      <c r="A44" s="31" t="s">
        <v>126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>
        <v>187.8000011</v>
      </c>
      <c r="P44" s="44">
        <v>82.700000759999995</v>
      </c>
      <c r="Q44" s="44">
        <v>284.6000042</v>
      </c>
      <c r="R44" s="44">
        <v>134.48000139999999</v>
      </c>
      <c r="S44" s="44">
        <v>89.66999817</v>
      </c>
      <c r="T44" s="44">
        <v>158.4000015</v>
      </c>
      <c r="U44" s="44">
        <v>16.399999619999999</v>
      </c>
      <c r="V44" s="44">
        <v>108</v>
      </c>
      <c r="W44" s="44">
        <v>47.989999769999997</v>
      </c>
      <c r="X44" s="44"/>
      <c r="Y44" s="44"/>
      <c r="Z44" s="32">
        <v>1110.0400065199999</v>
      </c>
      <c r="AA44" s="48"/>
    </row>
    <row r="45" spans="1:27" ht="15.75" x14ac:dyDescent="0.25">
      <c r="A45" s="31" t="s">
        <v>70</v>
      </c>
      <c r="B45" s="44"/>
      <c r="C45" s="44">
        <v>134.8999939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>
        <v>76</v>
      </c>
      <c r="Q45" s="44">
        <v>125</v>
      </c>
      <c r="R45" s="44">
        <v>100</v>
      </c>
      <c r="S45" s="44">
        <v>163</v>
      </c>
      <c r="T45" s="44">
        <v>149</v>
      </c>
      <c r="U45" s="44">
        <v>117</v>
      </c>
      <c r="V45" s="44">
        <v>321</v>
      </c>
      <c r="W45" s="44">
        <v>149.7999992</v>
      </c>
      <c r="X45" s="44">
        <v>231.88999939999999</v>
      </c>
      <c r="Y45" s="44"/>
      <c r="Z45" s="32">
        <v>1567.5899925000001</v>
      </c>
      <c r="AA45" s="48"/>
    </row>
    <row r="46" spans="1:27" ht="15.75" x14ac:dyDescent="0.25">
      <c r="A46" s="31" t="s">
        <v>67</v>
      </c>
      <c r="B46" s="44"/>
      <c r="C46" s="44">
        <v>359.60000609999997</v>
      </c>
      <c r="D46" s="44"/>
      <c r="E46" s="44"/>
      <c r="F46" s="44">
        <v>119</v>
      </c>
      <c r="G46" s="44">
        <v>238</v>
      </c>
      <c r="H46" s="44"/>
      <c r="I46" s="44">
        <v>519.79998780000005</v>
      </c>
      <c r="J46" s="44">
        <v>276.97000120000001</v>
      </c>
      <c r="K46" s="44">
        <v>245.9599991</v>
      </c>
      <c r="L46" s="44">
        <v>956.90000150000003</v>
      </c>
      <c r="M46" s="44">
        <v>219.97999569999999</v>
      </c>
      <c r="N46" s="44">
        <v>2256.689993</v>
      </c>
      <c r="O46" s="44">
        <v>2074.7699929999999</v>
      </c>
      <c r="P46" s="44">
        <v>1828.5</v>
      </c>
      <c r="Q46" s="44">
        <v>3662.0000460000001</v>
      </c>
      <c r="R46" s="44">
        <v>4735.5900190000002</v>
      </c>
      <c r="S46" s="44">
        <v>2922.4500010000002</v>
      </c>
      <c r="T46" s="44">
        <v>5690.610001</v>
      </c>
      <c r="U46" s="44">
        <v>3890.989998</v>
      </c>
      <c r="V46" s="44">
        <v>2609.8999939999999</v>
      </c>
      <c r="W46" s="44">
        <v>4697.2099989999997</v>
      </c>
      <c r="X46" s="44">
        <v>2364.6899950000002</v>
      </c>
      <c r="Y46" s="44"/>
      <c r="Z46" s="32">
        <v>39669.610030400007</v>
      </c>
      <c r="AA46" s="48"/>
    </row>
    <row r="47" spans="1:27" ht="15.75" x14ac:dyDescent="0.25">
      <c r="A47" s="31" t="s">
        <v>56</v>
      </c>
      <c r="B47" s="44"/>
      <c r="C47" s="44">
        <v>1399.320005</v>
      </c>
      <c r="D47" s="44"/>
      <c r="E47" s="44">
        <v>3924.1399860000001</v>
      </c>
      <c r="F47" s="44">
        <v>11972.589980000001</v>
      </c>
      <c r="G47" s="44">
        <v>28624.599569999998</v>
      </c>
      <c r="H47" s="44">
        <v>20691.060020000001</v>
      </c>
      <c r="I47" s="44">
        <v>45634.779869999998</v>
      </c>
      <c r="J47" s="44">
        <v>37007.079870000001</v>
      </c>
      <c r="K47" s="44">
        <v>38708.999920000002</v>
      </c>
      <c r="L47" s="44">
        <v>35025.72</v>
      </c>
      <c r="M47" s="44">
        <v>28930.980019999999</v>
      </c>
      <c r="N47" s="44">
        <v>44022.089979999997</v>
      </c>
      <c r="O47" s="44">
        <v>72656.000029999996</v>
      </c>
      <c r="P47" s="44">
        <v>37880.650159999997</v>
      </c>
      <c r="Q47" s="44">
        <v>83257.449930000002</v>
      </c>
      <c r="R47" s="44">
        <v>100855.2298</v>
      </c>
      <c r="S47" s="44">
        <v>85673.529550000007</v>
      </c>
      <c r="T47" s="44">
        <v>59651.199780000003</v>
      </c>
      <c r="U47" s="44">
        <v>51515.729720000003</v>
      </c>
      <c r="V47" s="44">
        <v>42326.44973</v>
      </c>
      <c r="W47" s="44">
        <v>41902.789839999998</v>
      </c>
      <c r="X47" s="44">
        <v>40293.92974</v>
      </c>
      <c r="Y47" s="44"/>
      <c r="Z47" s="32">
        <v>911954.31750100013</v>
      </c>
      <c r="AA47" s="48"/>
    </row>
    <row r="48" spans="1:27" ht="15.75" x14ac:dyDescent="0.25">
      <c r="A48" s="31" t="s">
        <v>84</v>
      </c>
      <c r="B48" s="44"/>
      <c r="C48" s="44"/>
      <c r="D48" s="44"/>
      <c r="E48" s="44">
        <v>339.73999020000002</v>
      </c>
      <c r="F48" s="44">
        <v>2221.2800050000001</v>
      </c>
      <c r="G48" s="44">
        <v>1667.3299930000001</v>
      </c>
      <c r="H48" s="44">
        <v>3818.4299209999999</v>
      </c>
      <c r="I48" s="44">
        <v>10019.429899999999</v>
      </c>
      <c r="J48" s="44">
        <v>4993.0499710000004</v>
      </c>
      <c r="K48" s="44">
        <v>8411.5899809999992</v>
      </c>
      <c r="L48" s="44">
        <v>7185.549986</v>
      </c>
      <c r="M48" s="44">
        <v>9034.9699760000003</v>
      </c>
      <c r="N48" s="44">
        <v>6859.1600129999997</v>
      </c>
      <c r="O48" s="44">
        <v>16509.900010000001</v>
      </c>
      <c r="P48" s="44">
        <v>10823.49999</v>
      </c>
      <c r="Q48" s="44">
        <v>15405.58005</v>
      </c>
      <c r="R48" s="44">
        <v>9015.7299590000002</v>
      </c>
      <c r="S48" s="44">
        <v>10822.200070000001</v>
      </c>
      <c r="T48" s="44">
        <v>19375.310030000001</v>
      </c>
      <c r="U48" s="44">
        <v>18757.070019999999</v>
      </c>
      <c r="V48" s="44">
        <v>16177.920050000001</v>
      </c>
      <c r="W48" s="44">
        <v>9541.7999940000009</v>
      </c>
      <c r="X48" s="44">
        <v>10519.34014</v>
      </c>
      <c r="Y48" s="44"/>
      <c r="Z48" s="32">
        <v>191498.88004920003</v>
      </c>
      <c r="AA48" s="48"/>
    </row>
    <row r="49" spans="1:27" ht="15.75" x14ac:dyDescent="0.25">
      <c r="A49" s="31" t="s">
        <v>114</v>
      </c>
      <c r="B49" s="44"/>
      <c r="C49" s="44"/>
      <c r="D49" s="44"/>
      <c r="E49" s="44"/>
      <c r="F49" s="44"/>
      <c r="G49" s="44"/>
      <c r="H49" s="44">
        <v>24</v>
      </c>
      <c r="I49" s="44">
        <v>193</v>
      </c>
      <c r="J49" s="44"/>
      <c r="K49" s="44">
        <v>469.98999789999999</v>
      </c>
      <c r="L49" s="44">
        <v>313</v>
      </c>
      <c r="M49" s="44"/>
      <c r="N49" s="44">
        <v>137</v>
      </c>
      <c r="O49" s="44">
        <v>137</v>
      </c>
      <c r="P49" s="44"/>
      <c r="Q49" s="44">
        <v>112</v>
      </c>
      <c r="R49" s="44"/>
      <c r="S49" s="44">
        <v>389</v>
      </c>
      <c r="T49" s="44">
        <v>280</v>
      </c>
      <c r="U49" s="44"/>
      <c r="V49" s="44"/>
      <c r="W49" s="44"/>
      <c r="X49" s="44"/>
      <c r="Y49" s="44"/>
      <c r="Z49" s="32">
        <v>2054.9899979000002</v>
      </c>
      <c r="AA49" s="48"/>
    </row>
    <row r="50" spans="1:27" ht="15.75" x14ac:dyDescent="0.25">
      <c r="A50" s="31" t="s">
        <v>101</v>
      </c>
      <c r="B50" s="44"/>
      <c r="C50" s="44"/>
      <c r="D50" s="44"/>
      <c r="E50" s="44"/>
      <c r="F50" s="44">
        <v>99</v>
      </c>
      <c r="G50" s="44"/>
      <c r="H50" s="44">
        <v>19.989999770000001</v>
      </c>
      <c r="I50" s="44"/>
      <c r="J50" s="44">
        <v>99</v>
      </c>
      <c r="K50" s="44"/>
      <c r="L50" s="44">
        <v>61</v>
      </c>
      <c r="M50" s="44">
        <v>290</v>
      </c>
      <c r="N50" s="44"/>
      <c r="O50" s="44">
        <v>324</v>
      </c>
      <c r="P50" s="44">
        <v>231</v>
      </c>
      <c r="Q50" s="44">
        <v>583</v>
      </c>
      <c r="R50" s="44">
        <v>325</v>
      </c>
      <c r="S50" s="44">
        <v>259</v>
      </c>
      <c r="T50" s="44">
        <v>317.98999980000002</v>
      </c>
      <c r="U50" s="44">
        <v>410.92000009999998</v>
      </c>
      <c r="V50" s="44">
        <v>468.16999629999998</v>
      </c>
      <c r="W50" s="44">
        <v>402.77999690000001</v>
      </c>
      <c r="X50" s="44">
        <v>749</v>
      </c>
      <c r="Y50" s="44"/>
      <c r="Z50" s="32">
        <v>4639.8499928700003</v>
      </c>
      <c r="AA50" s="48"/>
    </row>
    <row r="51" spans="1:27" ht="15.75" x14ac:dyDescent="0.25">
      <c r="A51" s="31" t="s">
        <v>71</v>
      </c>
      <c r="B51" s="44"/>
      <c r="C51" s="44">
        <v>119.5</v>
      </c>
      <c r="D51" s="44"/>
      <c r="E51" s="44">
        <v>234.88999939999999</v>
      </c>
      <c r="F51" s="44">
        <v>772.7099991</v>
      </c>
      <c r="G51" s="44">
        <v>2648.9600019999998</v>
      </c>
      <c r="H51" s="44">
        <v>923.38000869999996</v>
      </c>
      <c r="I51" s="44">
        <v>1841.5699770000001</v>
      </c>
      <c r="J51" s="44">
        <v>1940.0799770000001</v>
      </c>
      <c r="K51" s="44">
        <v>1292.399977</v>
      </c>
      <c r="L51" s="44">
        <v>3214.8000200000001</v>
      </c>
      <c r="M51" s="44">
        <v>965.13999369999999</v>
      </c>
      <c r="N51" s="44">
        <v>734.50000569999997</v>
      </c>
      <c r="O51" s="44">
        <v>2664.9600070000001</v>
      </c>
      <c r="P51" s="44">
        <v>2397.1000119999999</v>
      </c>
      <c r="Q51" s="44">
        <v>2180.1500230000001</v>
      </c>
      <c r="R51" s="44">
        <v>1912.650009</v>
      </c>
      <c r="S51" s="44">
        <v>1711.9300169999999</v>
      </c>
      <c r="T51" s="44">
        <v>6295.5101130000003</v>
      </c>
      <c r="U51" s="44">
        <v>6019.0302030000003</v>
      </c>
      <c r="V51" s="44">
        <v>3345.3900549999998</v>
      </c>
      <c r="W51" s="44">
        <v>4077.4501150000001</v>
      </c>
      <c r="X51" s="44">
        <v>1564.7800179999999</v>
      </c>
      <c r="Y51" s="44"/>
      <c r="Z51" s="32">
        <v>46856.8805316</v>
      </c>
      <c r="AA51" s="48"/>
    </row>
    <row r="52" spans="1:27" ht="15.75" x14ac:dyDescent="0.25">
      <c r="A52" s="31" t="s">
        <v>68</v>
      </c>
      <c r="B52" s="44"/>
      <c r="C52" s="44">
        <v>267</v>
      </c>
      <c r="D52" s="44"/>
      <c r="E52" s="44"/>
      <c r="F52" s="44">
        <v>159</v>
      </c>
      <c r="G52" s="44">
        <v>75</v>
      </c>
      <c r="H52" s="44">
        <v>75</v>
      </c>
      <c r="I52" s="44">
        <v>262.00000569999997</v>
      </c>
      <c r="J52" s="44">
        <v>145.9000015</v>
      </c>
      <c r="K52" s="44">
        <v>528</v>
      </c>
      <c r="L52" s="44">
        <v>1196.3799919999999</v>
      </c>
      <c r="M52" s="44">
        <v>1001.350006</v>
      </c>
      <c r="N52" s="44">
        <v>880</v>
      </c>
      <c r="O52" s="44">
        <v>768.90000150000003</v>
      </c>
      <c r="P52" s="44">
        <v>670.6900177</v>
      </c>
      <c r="Q52" s="44">
        <v>1176.5500139999999</v>
      </c>
      <c r="R52" s="44">
        <v>1411.2100109999999</v>
      </c>
      <c r="S52" s="44">
        <v>913.47001550000004</v>
      </c>
      <c r="T52" s="44">
        <v>1172.1000200000001</v>
      </c>
      <c r="U52" s="44">
        <v>3055.4799950000001</v>
      </c>
      <c r="V52" s="44">
        <v>1747.43001</v>
      </c>
      <c r="W52" s="44">
        <v>2106.810015</v>
      </c>
      <c r="X52" s="44">
        <v>1483.7900030000001</v>
      </c>
      <c r="Y52" s="44"/>
      <c r="Z52" s="32">
        <v>19096.060107899997</v>
      </c>
      <c r="AA52" s="48"/>
    </row>
    <row r="53" spans="1:27" ht="15.75" x14ac:dyDescent="0.25">
      <c r="A53" s="31" t="s">
        <v>83</v>
      </c>
      <c r="B53" s="44"/>
      <c r="C53" s="44"/>
      <c r="D53" s="44"/>
      <c r="E53" s="44">
        <v>492.5</v>
      </c>
      <c r="F53" s="44">
        <v>1694.1800040000001</v>
      </c>
      <c r="G53" s="44">
        <v>5924.0100400000001</v>
      </c>
      <c r="H53" s="44">
        <v>7150.1998979999998</v>
      </c>
      <c r="I53" s="44">
        <v>12539.62003</v>
      </c>
      <c r="J53" s="44">
        <v>8232.0899509999999</v>
      </c>
      <c r="K53" s="44">
        <v>8357.6100439999991</v>
      </c>
      <c r="L53" s="44">
        <v>6833.1000439999998</v>
      </c>
      <c r="M53" s="44">
        <v>3885.379993</v>
      </c>
      <c r="N53" s="44">
        <v>6240.3399890000001</v>
      </c>
      <c r="O53" s="44">
        <v>8538.9499909999995</v>
      </c>
      <c r="P53" s="44">
        <v>6248.2100929999997</v>
      </c>
      <c r="Q53" s="44">
        <v>18738.220130000002</v>
      </c>
      <c r="R53" s="44">
        <v>6604.3500119999999</v>
      </c>
      <c r="S53" s="44">
        <v>5911.7699490000005</v>
      </c>
      <c r="T53" s="44">
        <v>8680.4799270000003</v>
      </c>
      <c r="U53" s="44">
        <v>6618.4598919999999</v>
      </c>
      <c r="V53" s="44">
        <v>5070.8799319999998</v>
      </c>
      <c r="W53" s="44">
        <v>5821.7199549999996</v>
      </c>
      <c r="X53" s="44">
        <v>6847.9099120000001</v>
      </c>
      <c r="Y53" s="44"/>
      <c r="Z53" s="32">
        <v>140429.97978600001</v>
      </c>
      <c r="AA53" s="48"/>
    </row>
    <row r="54" spans="1:27" ht="15.75" x14ac:dyDescent="0.25">
      <c r="A54" s="31" t="s">
        <v>59</v>
      </c>
      <c r="B54" s="44"/>
      <c r="C54" s="44">
        <v>1306.190002</v>
      </c>
      <c r="D54" s="44"/>
      <c r="E54" s="44">
        <v>447.0400085</v>
      </c>
      <c r="F54" s="44">
        <v>1688.219994</v>
      </c>
      <c r="G54" s="44">
        <v>1808.5899830000001</v>
      </c>
      <c r="H54" s="44">
        <v>4090.1799700000001</v>
      </c>
      <c r="I54" s="44">
        <v>2476.9799899999998</v>
      </c>
      <c r="J54" s="44">
        <v>1258.95001</v>
      </c>
      <c r="K54" s="44">
        <v>1573.379997</v>
      </c>
      <c r="L54" s="44">
        <v>1937.390011</v>
      </c>
      <c r="M54" s="44">
        <v>1147.2099929999999</v>
      </c>
      <c r="N54" s="44">
        <v>1019.540018</v>
      </c>
      <c r="O54" s="44">
        <v>1355.9800049999999</v>
      </c>
      <c r="P54" s="44">
        <v>703.25000190000003</v>
      </c>
      <c r="Q54" s="44">
        <v>818.72000500000001</v>
      </c>
      <c r="R54" s="44">
        <v>1920.9200129999999</v>
      </c>
      <c r="S54" s="44">
        <v>1548.7400050000001</v>
      </c>
      <c r="T54" s="44">
        <v>627.23001099999999</v>
      </c>
      <c r="U54" s="44">
        <v>957.45001409999998</v>
      </c>
      <c r="V54" s="44">
        <v>556.4599991</v>
      </c>
      <c r="W54" s="44">
        <v>186.78000639999999</v>
      </c>
      <c r="X54" s="44">
        <v>949.27000050000004</v>
      </c>
      <c r="Y54" s="44"/>
      <c r="Z54" s="32">
        <v>28378.470037499999</v>
      </c>
      <c r="AA54" s="48"/>
    </row>
    <row r="55" spans="1:27" ht="15.75" x14ac:dyDescent="0.25">
      <c r="A55" s="31" t="s">
        <v>112</v>
      </c>
      <c r="B55" s="44"/>
      <c r="C55" s="44"/>
      <c r="D55" s="44"/>
      <c r="E55" s="44"/>
      <c r="F55" s="44"/>
      <c r="G55" s="44"/>
      <c r="H55" s="44">
        <v>109.4000015</v>
      </c>
      <c r="I55" s="44">
        <v>595.88999179999996</v>
      </c>
      <c r="J55" s="44"/>
      <c r="K55" s="44">
        <v>109.4000015</v>
      </c>
      <c r="L55" s="44">
        <v>509.38999180000002</v>
      </c>
      <c r="M55" s="44">
        <v>86.5</v>
      </c>
      <c r="N55" s="44"/>
      <c r="O55" s="44">
        <v>334</v>
      </c>
      <c r="P55" s="44">
        <v>803.7000008</v>
      </c>
      <c r="Q55" s="44">
        <v>860.5</v>
      </c>
      <c r="R55" s="44">
        <v>389.40000149999997</v>
      </c>
      <c r="S55" s="44">
        <v>440</v>
      </c>
      <c r="T55" s="44"/>
      <c r="U55" s="44"/>
      <c r="V55" s="44"/>
      <c r="W55" s="44">
        <v>129.8999939</v>
      </c>
      <c r="X55" s="44"/>
      <c r="Y55" s="44"/>
      <c r="Z55" s="32">
        <v>4368.0799827999999</v>
      </c>
      <c r="AA55" s="48"/>
    </row>
    <row r="56" spans="1:27" ht="15.75" x14ac:dyDescent="0.25">
      <c r="A56" s="31" t="s">
        <v>88</v>
      </c>
      <c r="B56" s="44"/>
      <c r="C56" s="44"/>
      <c r="D56" s="44"/>
      <c r="E56" s="44">
        <v>110</v>
      </c>
      <c r="F56" s="44">
        <v>139.8999996</v>
      </c>
      <c r="G56" s="44">
        <v>113.98000140000001</v>
      </c>
      <c r="H56" s="44">
        <v>1033.400005</v>
      </c>
      <c r="I56" s="44">
        <v>1304.4800110000001</v>
      </c>
      <c r="J56" s="44">
        <v>374.80000310000003</v>
      </c>
      <c r="K56" s="44">
        <v>1316.499992</v>
      </c>
      <c r="L56" s="44">
        <v>1006.199989</v>
      </c>
      <c r="M56" s="44">
        <v>464.08999249999999</v>
      </c>
      <c r="N56" s="44">
        <v>3428.5999980000001</v>
      </c>
      <c r="O56" s="44">
        <v>5007.3899920000003</v>
      </c>
      <c r="P56" s="44">
        <v>4277.2999989999998</v>
      </c>
      <c r="Q56" s="44">
        <v>4838.5000289999998</v>
      </c>
      <c r="R56" s="44">
        <v>4750.1600109999999</v>
      </c>
      <c r="S56" s="44">
        <v>2842.6600039999998</v>
      </c>
      <c r="T56" s="44">
        <v>3165.469975</v>
      </c>
      <c r="U56" s="44">
        <v>2310.0899890000001</v>
      </c>
      <c r="V56" s="44">
        <v>3667.4299890000002</v>
      </c>
      <c r="W56" s="44">
        <v>3875.9500309999999</v>
      </c>
      <c r="X56" s="44">
        <v>2156.4700130000001</v>
      </c>
      <c r="Y56" s="44">
        <v>145</v>
      </c>
      <c r="Z56" s="32">
        <v>46328.3700236</v>
      </c>
      <c r="AA56" s="48"/>
    </row>
    <row r="57" spans="1:27" ht="15.75" x14ac:dyDescent="0.25">
      <c r="A57" s="31" t="s">
        <v>45</v>
      </c>
      <c r="B57" s="44">
        <v>72.890003199999995</v>
      </c>
      <c r="C57" s="44">
        <v>5807.8899940000001</v>
      </c>
      <c r="D57" s="44"/>
      <c r="E57" s="44">
        <v>13521.30998</v>
      </c>
      <c r="F57" s="44">
        <v>20986.100020000002</v>
      </c>
      <c r="G57" s="44">
        <v>23477.630099999998</v>
      </c>
      <c r="H57" s="44">
        <v>21690.419910000001</v>
      </c>
      <c r="I57" s="44">
        <v>24028.509979999999</v>
      </c>
      <c r="J57" s="44">
        <v>16943.580030000001</v>
      </c>
      <c r="K57" s="44">
        <v>24751.920020000001</v>
      </c>
      <c r="L57" s="44">
        <v>35511.730100000001</v>
      </c>
      <c r="M57" s="44">
        <v>30838.690119999999</v>
      </c>
      <c r="N57" s="44">
        <v>30227.510180000001</v>
      </c>
      <c r="O57" s="44">
        <v>63223.970359999999</v>
      </c>
      <c r="P57" s="44">
        <v>32011.75013</v>
      </c>
      <c r="Q57" s="44">
        <v>55438.18045</v>
      </c>
      <c r="R57" s="44">
        <v>38646.520259999998</v>
      </c>
      <c r="S57" s="44">
        <v>52244.040300000001</v>
      </c>
      <c r="T57" s="44">
        <v>56793.010199999997</v>
      </c>
      <c r="U57" s="44">
        <v>54260.980230000001</v>
      </c>
      <c r="V57" s="44">
        <v>42190.219929999999</v>
      </c>
      <c r="W57" s="44">
        <v>45715.489939999999</v>
      </c>
      <c r="X57" s="44">
        <v>41380.150070000003</v>
      </c>
      <c r="Y57" s="44"/>
      <c r="Z57" s="32">
        <v>729762.49230719998</v>
      </c>
      <c r="AA57" s="48"/>
    </row>
    <row r="58" spans="1:27" ht="15.75" x14ac:dyDescent="0.25">
      <c r="A58" s="31" t="s">
        <v>60</v>
      </c>
      <c r="B58" s="44"/>
      <c r="C58" s="44">
        <v>1300.8799899999999</v>
      </c>
      <c r="D58" s="44"/>
      <c r="E58" s="44">
        <v>1444.349991</v>
      </c>
      <c r="F58" s="44">
        <v>11805.98013</v>
      </c>
      <c r="G58" s="44">
        <v>11783.51009</v>
      </c>
      <c r="H58" s="44">
        <v>9411.3001170000007</v>
      </c>
      <c r="I58" s="44">
        <v>8403.4300160000003</v>
      </c>
      <c r="J58" s="44">
        <v>7279.1300279999996</v>
      </c>
      <c r="K58" s="44">
        <v>16892.61016</v>
      </c>
      <c r="L58" s="44">
        <v>9877.3601070000004</v>
      </c>
      <c r="M58" s="44">
        <v>9208.6500090000009</v>
      </c>
      <c r="N58" s="44">
        <v>17890.830300000001</v>
      </c>
      <c r="O58" s="44">
        <v>18048.200209999999</v>
      </c>
      <c r="P58" s="44">
        <v>6964.3600159999996</v>
      </c>
      <c r="Q58" s="44">
        <v>20113.410080000001</v>
      </c>
      <c r="R58" s="44">
        <v>17774.780050000001</v>
      </c>
      <c r="S58" s="44">
        <v>31301.62009</v>
      </c>
      <c r="T58" s="44">
        <v>20194.719829999998</v>
      </c>
      <c r="U58" s="44">
        <v>21005.86002</v>
      </c>
      <c r="V58" s="44">
        <v>12725.579970000001</v>
      </c>
      <c r="W58" s="44">
        <v>13775.26994</v>
      </c>
      <c r="X58" s="44">
        <v>6758.8699489999999</v>
      </c>
      <c r="Y58" s="44"/>
      <c r="Z58" s="32">
        <v>273960.70109300001</v>
      </c>
      <c r="AA58" s="48"/>
    </row>
    <row r="59" spans="1:27" ht="15.75" x14ac:dyDescent="0.25">
      <c r="A59" s="31" t="s">
        <v>89</v>
      </c>
      <c r="B59" s="44"/>
      <c r="C59" s="44"/>
      <c r="D59" s="44"/>
      <c r="E59" s="44">
        <v>73.1999979</v>
      </c>
      <c r="F59" s="44">
        <v>450</v>
      </c>
      <c r="G59" s="44"/>
      <c r="H59" s="44">
        <v>858.96000670000001</v>
      </c>
      <c r="I59" s="44">
        <v>2369.969994</v>
      </c>
      <c r="J59" s="44">
        <v>308.98999789999999</v>
      </c>
      <c r="K59" s="44">
        <v>1206.989998</v>
      </c>
      <c r="L59" s="44">
        <v>618</v>
      </c>
      <c r="M59" s="44">
        <v>709.5999832</v>
      </c>
      <c r="N59" s="44">
        <v>1193.8999940000001</v>
      </c>
      <c r="O59" s="44">
        <v>873</v>
      </c>
      <c r="P59" s="44">
        <v>185</v>
      </c>
      <c r="Q59" s="44">
        <v>914.79998780000005</v>
      </c>
      <c r="R59" s="44">
        <v>1094.7999950000001</v>
      </c>
      <c r="S59" s="44">
        <v>1071.8000030000001</v>
      </c>
      <c r="T59" s="44">
        <v>1470.9000020000001</v>
      </c>
      <c r="U59" s="44">
        <v>1484.979996</v>
      </c>
      <c r="V59" s="44">
        <v>1559.989998</v>
      </c>
      <c r="W59" s="44">
        <v>1386.8999940000001</v>
      </c>
      <c r="X59" s="44">
        <v>2197</v>
      </c>
      <c r="Y59" s="44"/>
      <c r="Z59" s="32">
        <v>20028.779947499999</v>
      </c>
      <c r="AA59" s="48"/>
    </row>
    <row r="60" spans="1:27" ht="15.75" x14ac:dyDescent="0.25">
      <c r="A60" s="31" t="s">
        <v>82</v>
      </c>
      <c r="B60" s="44"/>
      <c r="C60" s="44"/>
      <c r="D60" s="44"/>
      <c r="E60" s="44">
        <v>1241.8999940000001</v>
      </c>
      <c r="F60" s="44">
        <v>3791.6299589999999</v>
      </c>
      <c r="G60" s="44">
        <v>3324</v>
      </c>
      <c r="H60" s="44">
        <v>2073.3399869999998</v>
      </c>
      <c r="I60" s="44">
        <v>4929.4299890000002</v>
      </c>
      <c r="J60" s="44">
        <v>1713.3000030000001</v>
      </c>
      <c r="K60" s="44">
        <v>4395.119995</v>
      </c>
      <c r="L60" s="44">
        <v>2478.0700320000001</v>
      </c>
      <c r="M60" s="44">
        <v>1275.870003</v>
      </c>
      <c r="N60" s="44">
        <v>1532.7899930000001</v>
      </c>
      <c r="O60" s="44">
        <v>6212.9500850000004</v>
      </c>
      <c r="P60" s="44">
        <v>2316.0100360000001</v>
      </c>
      <c r="Q60" s="44">
        <v>2308.0999929999998</v>
      </c>
      <c r="R60" s="44">
        <v>4402.7800180000004</v>
      </c>
      <c r="S60" s="44">
        <v>3521.8699419999998</v>
      </c>
      <c r="T60" s="44">
        <v>5133.729961</v>
      </c>
      <c r="U60" s="44">
        <v>2721.080019</v>
      </c>
      <c r="V60" s="44">
        <v>3541.619968</v>
      </c>
      <c r="W60" s="44">
        <v>6779.629911</v>
      </c>
      <c r="X60" s="44">
        <v>5223.3399429999999</v>
      </c>
      <c r="Y60" s="44"/>
      <c r="Z60" s="32">
        <v>68916.559830999991</v>
      </c>
      <c r="AA60" s="48"/>
    </row>
    <row r="61" spans="1:27" ht="15.75" x14ac:dyDescent="0.25">
      <c r="A61" s="31" t="s">
        <v>93</v>
      </c>
      <c r="B61" s="44"/>
      <c r="C61" s="44"/>
      <c r="D61" s="44"/>
      <c r="E61" s="44">
        <v>19.799999239999998</v>
      </c>
      <c r="F61" s="44"/>
      <c r="G61" s="44">
        <v>27.989999770000001</v>
      </c>
      <c r="H61" s="44">
        <v>59.800001139999999</v>
      </c>
      <c r="I61" s="44"/>
      <c r="J61" s="44">
        <v>1066.9000020000001</v>
      </c>
      <c r="K61" s="44">
        <v>329</v>
      </c>
      <c r="L61" s="44"/>
      <c r="M61" s="44"/>
      <c r="N61" s="44">
        <v>54.900001529999997</v>
      </c>
      <c r="O61" s="44"/>
      <c r="P61" s="44"/>
      <c r="Q61" s="44">
        <v>24.969999309999999</v>
      </c>
      <c r="R61" s="44">
        <v>244.96999930000001</v>
      </c>
      <c r="S61" s="44">
        <v>323.96999929999998</v>
      </c>
      <c r="T61" s="44">
        <v>1696.859964</v>
      </c>
      <c r="U61" s="44">
        <v>729.00000190000003</v>
      </c>
      <c r="V61" s="44">
        <v>109.07999940000001</v>
      </c>
      <c r="W61" s="44">
        <v>849.30000110000003</v>
      </c>
      <c r="X61" s="44">
        <v>497.81000230000001</v>
      </c>
      <c r="Y61" s="44"/>
      <c r="Z61" s="32">
        <v>6034.3499702899999</v>
      </c>
      <c r="AA61" s="48"/>
    </row>
    <row r="62" spans="1:27" ht="15.75" x14ac:dyDescent="0.25">
      <c r="A62" s="31" t="s">
        <v>0</v>
      </c>
      <c r="B62" s="44"/>
      <c r="C62" s="44">
        <v>65.890001299999994</v>
      </c>
      <c r="D62" s="44"/>
      <c r="E62" s="44">
        <v>1702.639977</v>
      </c>
      <c r="F62" s="44">
        <v>9034.1000029999996</v>
      </c>
      <c r="G62" s="44">
        <v>6714.1699959999996</v>
      </c>
      <c r="H62" s="44">
        <v>8693.0900920000004</v>
      </c>
      <c r="I62" s="44">
        <v>10961.94003</v>
      </c>
      <c r="J62" s="44">
        <v>5527.7900259999997</v>
      </c>
      <c r="K62" s="44">
        <v>3124.6600279999998</v>
      </c>
      <c r="L62" s="44">
        <v>5243.4000169999999</v>
      </c>
      <c r="M62" s="44">
        <v>5904.1399899999997</v>
      </c>
      <c r="N62" s="44">
        <v>18800.479879999999</v>
      </c>
      <c r="O62" s="44">
        <v>14115.979960000001</v>
      </c>
      <c r="P62" s="44">
        <v>16224.919819999999</v>
      </c>
      <c r="Q62" s="44">
        <v>22489.44987</v>
      </c>
      <c r="R62" s="44">
        <v>12758.749900000001</v>
      </c>
      <c r="S62" s="44">
        <v>17378.109970000001</v>
      </c>
      <c r="T62" s="44">
        <v>8240.6600240000007</v>
      </c>
      <c r="U62" s="44">
        <v>3136.9400220000002</v>
      </c>
      <c r="V62" s="44">
        <v>2387.1300620000002</v>
      </c>
      <c r="W62" s="44">
        <v>4612.0000330000003</v>
      </c>
      <c r="X62" s="44">
        <v>2419.04</v>
      </c>
      <c r="Y62" s="44"/>
      <c r="Z62" s="32">
        <v>179535.27970129999</v>
      </c>
      <c r="AA62" s="48"/>
    </row>
    <row r="63" spans="1:27" ht="15.75" x14ac:dyDescent="0.25">
      <c r="A63" s="31" t="s">
        <v>81</v>
      </c>
      <c r="B63" s="44"/>
      <c r="C63" s="44"/>
      <c r="D63" s="44"/>
      <c r="E63" s="44">
        <v>1561.989988</v>
      </c>
      <c r="F63" s="44">
        <v>2341.3999720000002</v>
      </c>
      <c r="G63" s="44">
        <v>5902.6199930000002</v>
      </c>
      <c r="H63" s="44">
        <v>4606.3399909999998</v>
      </c>
      <c r="I63" s="44">
        <v>6049.9800109999996</v>
      </c>
      <c r="J63" s="44">
        <v>3493.5700040000002</v>
      </c>
      <c r="K63" s="44">
        <v>7091.7500060000002</v>
      </c>
      <c r="L63" s="44">
        <v>6366.91003</v>
      </c>
      <c r="M63" s="44">
        <v>6130.4100159999998</v>
      </c>
      <c r="N63" s="44">
        <v>8607.8600129999995</v>
      </c>
      <c r="O63" s="44">
        <v>16699.089909999999</v>
      </c>
      <c r="P63" s="44">
        <v>25730.999930000002</v>
      </c>
      <c r="Q63" s="44">
        <v>41023.909930000002</v>
      </c>
      <c r="R63" s="44">
        <v>11889.1</v>
      </c>
      <c r="S63" s="44">
        <v>13152.74001</v>
      </c>
      <c r="T63" s="44">
        <v>11701.35003</v>
      </c>
      <c r="U63" s="44">
        <v>12923.38999</v>
      </c>
      <c r="V63" s="44">
        <v>12859.08006</v>
      </c>
      <c r="W63" s="44">
        <v>17247.090080000002</v>
      </c>
      <c r="X63" s="44">
        <v>15563.6499</v>
      </c>
      <c r="Y63" s="44"/>
      <c r="Z63" s="32">
        <v>230943.22986400002</v>
      </c>
      <c r="AA63" s="48"/>
    </row>
    <row r="64" spans="1:27" ht="15.75" x14ac:dyDescent="0.25">
      <c r="A64" s="31" t="s">
        <v>111</v>
      </c>
      <c r="B64" s="44"/>
      <c r="C64" s="44"/>
      <c r="D64" s="44"/>
      <c r="E64" s="44"/>
      <c r="F64" s="44"/>
      <c r="G64" s="44"/>
      <c r="H64" s="44">
        <v>259.98001099999999</v>
      </c>
      <c r="I64" s="44">
        <v>129.9900055</v>
      </c>
      <c r="J64" s="44">
        <v>129.9900055</v>
      </c>
      <c r="K64" s="44"/>
      <c r="L64" s="44"/>
      <c r="M64" s="44"/>
      <c r="N64" s="44"/>
      <c r="O64" s="44"/>
      <c r="P64" s="44"/>
      <c r="Q64" s="44"/>
      <c r="R64" s="44">
        <v>129.9900055</v>
      </c>
      <c r="S64" s="44"/>
      <c r="T64" s="44"/>
      <c r="U64" s="44"/>
      <c r="V64" s="44"/>
      <c r="W64" s="44">
        <v>677</v>
      </c>
      <c r="X64" s="44">
        <v>219</v>
      </c>
      <c r="Y64" s="44"/>
      <c r="Z64" s="32">
        <v>1545.9500275</v>
      </c>
      <c r="AA64" s="48"/>
    </row>
    <row r="65" spans="1:27" ht="15.75" x14ac:dyDescent="0.25">
      <c r="A65" s="31" t="s">
        <v>78</v>
      </c>
      <c r="B65" s="44"/>
      <c r="C65" s="44"/>
      <c r="D65" s="44"/>
      <c r="E65" s="44">
        <v>2199.98999</v>
      </c>
      <c r="F65" s="44">
        <v>3549</v>
      </c>
      <c r="G65" s="44"/>
      <c r="H65" s="44"/>
      <c r="I65" s="44"/>
      <c r="J65" s="44"/>
      <c r="K65" s="44"/>
      <c r="L65" s="44">
        <v>33700</v>
      </c>
      <c r="M65" s="44">
        <v>52878.880129999998</v>
      </c>
      <c r="N65" s="44">
        <v>40393.91992</v>
      </c>
      <c r="O65" s="44">
        <v>9768</v>
      </c>
      <c r="P65" s="44">
        <v>16741</v>
      </c>
      <c r="Q65" s="44">
        <v>7450</v>
      </c>
      <c r="R65" s="44"/>
      <c r="S65" s="44"/>
      <c r="T65" s="44">
        <v>13774.91992</v>
      </c>
      <c r="U65" s="44">
        <v>9429.9199219999991</v>
      </c>
      <c r="V65" s="44">
        <v>13127</v>
      </c>
      <c r="W65" s="44">
        <v>11239</v>
      </c>
      <c r="X65" s="44">
        <v>8711.5</v>
      </c>
      <c r="Y65" s="44"/>
      <c r="Z65" s="32">
        <v>222963.12988200001</v>
      </c>
      <c r="AA65" s="48"/>
    </row>
    <row r="66" spans="1:27" ht="15.75" x14ac:dyDescent="0.25">
      <c r="A66" s="31" t="s">
        <v>48</v>
      </c>
      <c r="B66" s="44"/>
      <c r="C66" s="44">
        <v>5688.6999089999999</v>
      </c>
      <c r="D66" s="44"/>
      <c r="E66" s="44">
        <v>5112.5999430000002</v>
      </c>
      <c r="F66" s="44">
        <v>8127.179905</v>
      </c>
      <c r="G66" s="44">
        <v>19808.129700000001</v>
      </c>
      <c r="H66" s="44">
        <v>19891.10973</v>
      </c>
      <c r="I66" s="44">
        <v>20119.039669999998</v>
      </c>
      <c r="J66" s="44">
        <v>24438.09978</v>
      </c>
      <c r="K66" s="44">
        <v>12910.020049999999</v>
      </c>
      <c r="L66" s="44">
        <v>13142.090050000001</v>
      </c>
      <c r="M66" s="44">
        <v>14744.87004</v>
      </c>
      <c r="N66" s="44">
        <v>16984.62</v>
      </c>
      <c r="O66" s="44">
        <v>31831.809959999999</v>
      </c>
      <c r="P66" s="44">
        <v>27864.429899999999</v>
      </c>
      <c r="Q66" s="44">
        <v>20036.890070000001</v>
      </c>
      <c r="R66" s="44">
        <v>20632.700099999998</v>
      </c>
      <c r="S66" s="44">
        <v>20473.250019999999</v>
      </c>
      <c r="T66" s="44">
        <v>17790.309939999999</v>
      </c>
      <c r="U66" s="44">
        <v>24757.699929999999</v>
      </c>
      <c r="V66" s="44">
        <v>27335.85989</v>
      </c>
      <c r="W66" s="44">
        <v>22417.770049999999</v>
      </c>
      <c r="X66" s="44">
        <v>25017.68995</v>
      </c>
      <c r="Y66" s="44"/>
      <c r="Z66" s="32">
        <v>399124.86858699995</v>
      </c>
      <c r="AA66" s="48"/>
    </row>
    <row r="67" spans="1:27" ht="15.75" x14ac:dyDescent="0.25">
      <c r="A67" s="31" t="s">
        <v>64</v>
      </c>
      <c r="B67" s="44"/>
      <c r="C67" s="44">
        <v>689.68001560000005</v>
      </c>
      <c r="D67" s="44"/>
      <c r="E67" s="44">
        <v>967.11999270000001</v>
      </c>
      <c r="F67" s="44">
        <v>3729.0699840000002</v>
      </c>
      <c r="G67" s="44">
        <v>8369.9599990000006</v>
      </c>
      <c r="H67" s="44">
        <v>6182.8899940000001</v>
      </c>
      <c r="I67" s="44">
        <v>8151.019929</v>
      </c>
      <c r="J67" s="44">
        <v>5243.5699860000004</v>
      </c>
      <c r="K67" s="44">
        <v>6605.8699589999997</v>
      </c>
      <c r="L67" s="44">
        <v>10500.78995</v>
      </c>
      <c r="M67" s="44">
        <v>8534.9199599999993</v>
      </c>
      <c r="N67" s="44">
        <v>8243.5799540000007</v>
      </c>
      <c r="O67" s="44">
        <v>11325.680039999999</v>
      </c>
      <c r="P67" s="44">
        <v>7227.230055</v>
      </c>
      <c r="Q67" s="44">
        <v>10885.96004</v>
      </c>
      <c r="R67" s="44">
        <v>9595.0299840000007</v>
      </c>
      <c r="S67" s="44">
        <v>13643.69</v>
      </c>
      <c r="T67" s="44">
        <v>18778.300090000001</v>
      </c>
      <c r="U67" s="44">
        <v>11708.460080000001</v>
      </c>
      <c r="V67" s="44">
        <v>19491.780050000001</v>
      </c>
      <c r="W67" s="44">
        <v>19583.740000000002</v>
      </c>
      <c r="X67" s="44">
        <v>24857.06998</v>
      </c>
      <c r="Y67" s="44"/>
      <c r="Z67" s="32">
        <v>214315.41004229998</v>
      </c>
      <c r="AA67" s="48"/>
    </row>
    <row r="68" spans="1:27" ht="15.75" x14ac:dyDescent="0.25">
      <c r="A68" s="31" t="s">
        <v>119</v>
      </c>
      <c r="B68" s="44"/>
      <c r="C68" s="44"/>
      <c r="D68" s="44"/>
      <c r="E68" s="44"/>
      <c r="F68" s="44"/>
      <c r="G68" s="44"/>
      <c r="H68" s="44"/>
      <c r="I68" s="44"/>
      <c r="J68" s="44">
        <v>71.900001529999997</v>
      </c>
      <c r="K68" s="44"/>
      <c r="L68" s="44">
        <v>109.06000330000001</v>
      </c>
      <c r="M68" s="44">
        <v>640.98999019999997</v>
      </c>
      <c r="N68" s="44"/>
      <c r="O68" s="44"/>
      <c r="P68" s="44"/>
      <c r="Q68" s="44">
        <v>369.98999020000002</v>
      </c>
      <c r="R68" s="44">
        <v>3024.9</v>
      </c>
      <c r="S68" s="44">
        <v>7890.8999940000003</v>
      </c>
      <c r="T68" s="44">
        <v>13980.980009999999</v>
      </c>
      <c r="U68" s="44">
        <v>10161.6001</v>
      </c>
      <c r="V68" s="44">
        <v>3499</v>
      </c>
      <c r="W68" s="44">
        <v>4699.6699930000004</v>
      </c>
      <c r="X68" s="44">
        <v>2996.7199989999999</v>
      </c>
      <c r="Y68" s="44"/>
      <c r="Z68" s="32">
        <v>47445.710081229998</v>
      </c>
      <c r="AA68" s="48"/>
    </row>
    <row r="69" spans="1:27" ht="15.75" x14ac:dyDescent="0.25">
      <c r="A69" s="31" t="s">
        <v>127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>
        <v>1958</v>
      </c>
      <c r="V69" s="44"/>
      <c r="W69" s="44">
        <v>172.03000449999999</v>
      </c>
      <c r="X69" s="44">
        <v>1838.499992</v>
      </c>
      <c r="Y69" s="44"/>
      <c r="Z69" s="32">
        <v>3968.5299964999999</v>
      </c>
      <c r="AA69" s="48"/>
    </row>
    <row r="70" spans="1:27" ht="15.75" x14ac:dyDescent="0.25">
      <c r="A70" s="31" t="s">
        <v>51</v>
      </c>
      <c r="B70" s="44"/>
      <c r="C70" s="44">
        <v>3360.2399650000002</v>
      </c>
      <c r="D70" s="44"/>
      <c r="E70" s="44">
        <v>8086.5199890000004</v>
      </c>
      <c r="F70" s="44">
        <v>11756.20996</v>
      </c>
      <c r="G70" s="44">
        <v>26770.379939999999</v>
      </c>
      <c r="H70" s="44">
        <v>23487.77982</v>
      </c>
      <c r="I70" s="44">
        <v>37973.899790000003</v>
      </c>
      <c r="J70" s="44">
        <v>28948.629919999999</v>
      </c>
      <c r="K70" s="44">
        <v>36804.559990000002</v>
      </c>
      <c r="L70" s="44">
        <v>36419.199650000002</v>
      </c>
      <c r="M70" s="44">
        <v>47135.599580000002</v>
      </c>
      <c r="N70" s="44">
        <v>65959.529670000004</v>
      </c>
      <c r="O70" s="44">
        <v>97724.569820000004</v>
      </c>
      <c r="P70" s="44">
        <v>71727.619690000007</v>
      </c>
      <c r="Q70" s="44">
        <v>75621.240030000001</v>
      </c>
      <c r="R70" s="44">
        <v>63462.179900000003</v>
      </c>
      <c r="S70" s="44">
        <v>97861.079830000002</v>
      </c>
      <c r="T70" s="44">
        <v>92658.569919999994</v>
      </c>
      <c r="U70" s="44">
        <v>123872.66009999999</v>
      </c>
      <c r="V70" s="44">
        <v>86885.56005</v>
      </c>
      <c r="W70" s="44">
        <v>96212.590049999999</v>
      </c>
      <c r="X70" s="44">
        <v>72277.059899999993</v>
      </c>
      <c r="Y70" s="44"/>
      <c r="Z70" s="32">
        <v>1205005.677564</v>
      </c>
      <c r="AA70" s="48"/>
    </row>
    <row r="71" spans="1:27" ht="15.75" x14ac:dyDescent="0.25">
      <c r="A71" s="31" t="s">
        <v>86</v>
      </c>
      <c r="B71" s="44"/>
      <c r="C71" s="44"/>
      <c r="D71" s="44"/>
      <c r="E71" s="44">
        <v>183.28999329999999</v>
      </c>
      <c r="F71" s="44"/>
      <c r="G71" s="44"/>
      <c r="H71" s="44"/>
      <c r="I71" s="44"/>
      <c r="J71" s="44"/>
      <c r="K71" s="44"/>
      <c r="L71" s="44"/>
      <c r="M71" s="44">
        <v>100</v>
      </c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2">
        <v>283.28999329999999</v>
      </c>
      <c r="AA71" s="48"/>
    </row>
    <row r="72" spans="1:27" ht="15.75" x14ac:dyDescent="0.25">
      <c r="A72" s="31" t="s">
        <v>107</v>
      </c>
      <c r="B72" s="44"/>
      <c r="C72" s="44"/>
      <c r="D72" s="44"/>
      <c r="E72" s="44"/>
      <c r="F72" s="44"/>
      <c r="G72" s="44">
        <v>75</v>
      </c>
      <c r="H72" s="44">
        <v>128.0599995</v>
      </c>
      <c r="I72" s="44">
        <v>508.85000129999997</v>
      </c>
      <c r="J72" s="44">
        <v>273.89999390000003</v>
      </c>
      <c r="K72" s="44">
        <v>530.18999859999997</v>
      </c>
      <c r="L72" s="44">
        <v>377.80000109999997</v>
      </c>
      <c r="M72" s="44">
        <v>438.40000149999997</v>
      </c>
      <c r="N72" s="44">
        <v>744</v>
      </c>
      <c r="O72" s="44">
        <v>596.7900009</v>
      </c>
      <c r="P72" s="44">
        <v>770</v>
      </c>
      <c r="Q72" s="44">
        <v>1048.7900030000001</v>
      </c>
      <c r="R72" s="44">
        <v>715.7900009</v>
      </c>
      <c r="S72" s="44">
        <v>921.90000150000003</v>
      </c>
      <c r="T72" s="44">
        <v>2222.300013</v>
      </c>
      <c r="U72" s="44">
        <v>683.49999089999994</v>
      </c>
      <c r="V72" s="44">
        <v>5863.1800819999999</v>
      </c>
      <c r="W72" s="44">
        <v>3785.1899950000002</v>
      </c>
      <c r="X72" s="44">
        <v>1825.5900059999999</v>
      </c>
      <c r="Y72" s="44"/>
      <c r="Z72" s="32">
        <v>21509.230089099998</v>
      </c>
      <c r="AA72" s="48"/>
    </row>
    <row r="73" spans="1:27" ht="15.75" x14ac:dyDescent="0.25">
      <c r="A73" s="31" t="s">
        <v>95</v>
      </c>
      <c r="B73" s="44"/>
      <c r="C73" s="44"/>
      <c r="D73" s="44"/>
      <c r="E73" s="44"/>
      <c r="F73" s="44">
        <v>792</v>
      </c>
      <c r="G73" s="44">
        <v>495</v>
      </c>
      <c r="H73" s="44">
        <v>1112.880011</v>
      </c>
      <c r="I73" s="44">
        <v>1514.979996</v>
      </c>
      <c r="J73" s="44">
        <v>594</v>
      </c>
      <c r="K73" s="44">
        <v>198</v>
      </c>
      <c r="L73" s="44">
        <v>450.88999940000002</v>
      </c>
      <c r="M73" s="44">
        <v>233.9000015</v>
      </c>
      <c r="N73" s="44">
        <v>99</v>
      </c>
      <c r="O73" s="44">
        <v>350.4000072</v>
      </c>
      <c r="P73" s="44">
        <v>419.4000092</v>
      </c>
      <c r="Q73" s="44">
        <v>161.8000031</v>
      </c>
      <c r="R73" s="44">
        <v>694.97001269999998</v>
      </c>
      <c r="S73" s="44">
        <v>259.2900047</v>
      </c>
      <c r="T73" s="44">
        <v>52</v>
      </c>
      <c r="U73" s="44">
        <v>49.900001529999997</v>
      </c>
      <c r="V73" s="44">
        <v>50</v>
      </c>
      <c r="W73" s="44"/>
      <c r="X73" s="44"/>
      <c r="Y73" s="44"/>
      <c r="Z73" s="32">
        <v>7528.4100463300001</v>
      </c>
      <c r="AA73" s="48"/>
    </row>
    <row r="74" spans="1:27" ht="15.75" x14ac:dyDescent="0.25">
      <c r="A74" s="31" t="s">
        <v>46</v>
      </c>
      <c r="B74" s="44">
        <v>59.5</v>
      </c>
      <c r="C74" s="44">
        <v>500.07999419999999</v>
      </c>
      <c r="D74" s="44"/>
      <c r="E74" s="44">
        <v>2945.859989</v>
      </c>
      <c r="F74" s="44">
        <v>6899.0900890000003</v>
      </c>
      <c r="G74" s="44">
        <v>8121.0500140000004</v>
      </c>
      <c r="H74" s="44">
        <v>7245.8699660000002</v>
      </c>
      <c r="I74" s="44">
        <v>9264.0999800000009</v>
      </c>
      <c r="J74" s="44">
        <v>6757.6199770000003</v>
      </c>
      <c r="K74" s="44">
        <v>9064.8600409999999</v>
      </c>
      <c r="L74" s="44">
        <v>10930.289940000001</v>
      </c>
      <c r="M74" s="44">
        <v>18559.249769999999</v>
      </c>
      <c r="N74" s="44">
        <v>22850.759959999999</v>
      </c>
      <c r="O74" s="44">
        <v>26564.87976</v>
      </c>
      <c r="P74" s="44">
        <v>13611.00986</v>
      </c>
      <c r="Q74" s="44">
        <v>14879.96005</v>
      </c>
      <c r="R74" s="44">
        <v>14105.23999</v>
      </c>
      <c r="S74" s="44">
        <v>25804.88998</v>
      </c>
      <c r="T74" s="44">
        <v>16636.84002</v>
      </c>
      <c r="U74" s="44">
        <v>21608.260020000002</v>
      </c>
      <c r="V74" s="44">
        <v>22776.820019999999</v>
      </c>
      <c r="W74" s="44">
        <v>26939.410039999999</v>
      </c>
      <c r="X74" s="44">
        <v>37541.889929999998</v>
      </c>
      <c r="Y74" s="44"/>
      <c r="Z74" s="32">
        <v>323667.52939019998</v>
      </c>
      <c r="AA74" s="48"/>
    </row>
    <row r="75" spans="1:27" ht="15.75" x14ac:dyDescent="0.25">
      <c r="A75" s="31" t="s">
        <v>63</v>
      </c>
      <c r="B75" s="44"/>
      <c r="C75" s="44">
        <v>704.87999730000001</v>
      </c>
      <c r="D75" s="44"/>
      <c r="E75" s="44">
        <v>677.12001129999999</v>
      </c>
      <c r="F75" s="44">
        <v>759.23000809999996</v>
      </c>
      <c r="G75" s="44">
        <v>1592.35004</v>
      </c>
      <c r="H75" s="44">
        <v>2998.330003</v>
      </c>
      <c r="I75" s="44">
        <v>462.33001330000002</v>
      </c>
      <c r="J75" s="44">
        <v>933.67001909999999</v>
      </c>
      <c r="K75" s="44">
        <v>218.73000339999999</v>
      </c>
      <c r="L75" s="44">
        <v>3343.5399889999999</v>
      </c>
      <c r="M75" s="44">
        <v>13692.91</v>
      </c>
      <c r="N75" s="44">
        <v>3751.8799819999999</v>
      </c>
      <c r="O75" s="44">
        <v>943.97999000000004</v>
      </c>
      <c r="P75" s="44">
        <v>998.76998900000001</v>
      </c>
      <c r="Q75" s="44">
        <v>2444.0999820000002</v>
      </c>
      <c r="R75" s="44">
        <v>6138.669981</v>
      </c>
      <c r="S75" s="44">
        <v>1930.5899979999999</v>
      </c>
      <c r="T75" s="44">
        <v>1921.939991</v>
      </c>
      <c r="U75" s="44">
        <v>1946.0999979999999</v>
      </c>
      <c r="V75" s="44">
        <v>2080.3199979999999</v>
      </c>
      <c r="W75" s="44">
        <v>9319.3900030000004</v>
      </c>
      <c r="X75" s="44">
        <v>2724.1699699999999</v>
      </c>
      <c r="Y75" s="44"/>
      <c r="Z75" s="32">
        <v>59582.9999665</v>
      </c>
      <c r="AA75" s="48"/>
    </row>
    <row r="76" spans="1:27" ht="15.75" x14ac:dyDescent="0.25">
      <c r="A76" s="31" t="s">
        <v>61</v>
      </c>
      <c r="B76" s="44"/>
      <c r="C76" s="44">
        <v>1287.070005</v>
      </c>
      <c r="D76" s="44"/>
      <c r="E76" s="44">
        <v>2827.5799900000002</v>
      </c>
      <c r="F76" s="44">
        <v>12659.67</v>
      </c>
      <c r="G76" s="44">
        <v>13511.80991</v>
      </c>
      <c r="H76" s="44">
        <v>15028.839980000001</v>
      </c>
      <c r="I76" s="44">
        <v>21726.480070000001</v>
      </c>
      <c r="J76" s="44">
        <v>23623.71027</v>
      </c>
      <c r="K76" s="44">
        <v>20874.300050000002</v>
      </c>
      <c r="L76" s="44">
        <v>23733.940009999998</v>
      </c>
      <c r="M76" s="44">
        <v>20313.259989999999</v>
      </c>
      <c r="N76" s="44">
        <v>15996.63004</v>
      </c>
      <c r="O76" s="44">
        <v>34855.320119999997</v>
      </c>
      <c r="P76" s="44">
        <v>25921.950089999998</v>
      </c>
      <c r="Q76" s="44">
        <v>38078.310149999998</v>
      </c>
      <c r="R76" s="44">
        <v>35448.56005</v>
      </c>
      <c r="S76" s="44">
        <v>37514.440110000003</v>
      </c>
      <c r="T76" s="44">
        <v>45405.959909999998</v>
      </c>
      <c r="U76" s="44">
        <v>63003.57</v>
      </c>
      <c r="V76" s="44">
        <v>56825.450040000003</v>
      </c>
      <c r="W76" s="44">
        <v>63409.140019999999</v>
      </c>
      <c r="X76" s="44">
        <v>60202.670080000004</v>
      </c>
      <c r="Y76" s="44"/>
      <c r="Z76" s="32">
        <v>632248.66088500002</v>
      </c>
      <c r="AA76" s="48"/>
    </row>
    <row r="77" spans="1:27" ht="15.75" x14ac:dyDescent="0.25">
      <c r="A77" s="31" t="s">
        <v>128</v>
      </c>
      <c r="B77" s="32">
        <v>267.36000819999998</v>
      </c>
      <c r="C77" s="32">
        <v>49507.659777650013</v>
      </c>
      <c r="D77" s="32">
        <v>10.899999619999999</v>
      </c>
      <c r="E77" s="32">
        <v>120312.86980378997</v>
      </c>
      <c r="F77" s="32">
        <v>247303.01980699005</v>
      </c>
      <c r="G77" s="32">
        <v>374344.29948300001</v>
      </c>
      <c r="H77" s="32">
        <v>359927.22971624008</v>
      </c>
      <c r="I77" s="32">
        <v>506071.1393101</v>
      </c>
      <c r="J77" s="32">
        <v>433038.60011794482</v>
      </c>
      <c r="K77" s="32">
        <v>498031.48040012986</v>
      </c>
      <c r="L77" s="32">
        <v>573971.68046273908</v>
      </c>
      <c r="M77" s="32">
        <v>624401.68940892024</v>
      </c>
      <c r="N77" s="32">
        <v>664219.4300220299</v>
      </c>
      <c r="O77" s="32">
        <v>1010271.3712149704</v>
      </c>
      <c r="P77" s="32">
        <v>743914.16976859001</v>
      </c>
      <c r="Q77" s="32">
        <v>950030.36134984996</v>
      </c>
      <c r="R77" s="32">
        <v>844178.71134565026</v>
      </c>
      <c r="S77" s="32">
        <v>983213.44143417967</v>
      </c>
      <c r="T77" s="32">
        <v>996647.74937714997</v>
      </c>
      <c r="U77" s="32">
        <v>996517.6797196999</v>
      </c>
      <c r="V77" s="32">
        <v>865124.30944773962</v>
      </c>
      <c r="W77" s="32">
        <v>895507.22010479006</v>
      </c>
      <c r="X77" s="32">
        <v>854686.32963164884</v>
      </c>
      <c r="Y77" s="32">
        <v>145</v>
      </c>
      <c r="Z77" s="32">
        <v>13591643.701711623</v>
      </c>
      <c r="AA77" s="48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Part2_Sparkline!A3:Z3</xm:f>
              <xm:sqref>AA3</xm:sqref>
            </x14:sparkline>
            <x14:sparkline>
              <xm:f>Part2_Sparkline!A4:Z4</xm:f>
              <xm:sqref>AA4</xm:sqref>
            </x14:sparkline>
            <x14:sparkline>
              <xm:f>Part2_Sparkline!A5:Z5</xm:f>
              <xm:sqref>AA5</xm:sqref>
            </x14:sparkline>
            <x14:sparkline>
              <xm:f>Part2_Sparkline!A6:Z6</xm:f>
              <xm:sqref>AA6</xm:sqref>
            </x14:sparkline>
            <x14:sparkline>
              <xm:f>Part2_Sparkline!A7:Z7</xm:f>
              <xm:sqref>AA7</xm:sqref>
            </x14:sparkline>
            <x14:sparkline>
              <xm:f>Part2_Sparkline!A8:Z8</xm:f>
              <xm:sqref>AA8</xm:sqref>
            </x14:sparkline>
            <x14:sparkline>
              <xm:f>Part2_Sparkline!A9:Z9</xm:f>
              <xm:sqref>AA9</xm:sqref>
            </x14:sparkline>
            <x14:sparkline>
              <xm:f>Part2_Sparkline!A10:Z10</xm:f>
              <xm:sqref>AA10</xm:sqref>
            </x14:sparkline>
            <x14:sparkline>
              <xm:f>Part2_Sparkline!A11:Z11</xm:f>
              <xm:sqref>AA11</xm:sqref>
            </x14:sparkline>
            <x14:sparkline>
              <xm:f>Part2_Sparkline!A12:Z12</xm:f>
              <xm:sqref>AA12</xm:sqref>
            </x14:sparkline>
            <x14:sparkline>
              <xm:f>Part2_Sparkline!A13:Z13</xm:f>
              <xm:sqref>AA13</xm:sqref>
            </x14:sparkline>
            <x14:sparkline>
              <xm:f>Part2_Sparkline!A14:Z14</xm:f>
              <xm:sqref>AA14</xm:sqref>
            </x14:sparkline>
            <x14:sparkline>
              <xm:f>Part2_Sparkline!A15:Z15</xm:f>
              <xm:sqref>AA15</xm:sqref>
            </x14:sparkline>
            <x14:sparkline>
              <xm:f>Part2_Sparkline!A16:Z16</xm:f>
              <xm:sqref>AA16</xm:sqref>
            </x14:sparkline>
            <x14:sparkline>
              <xm:f>Part2_Sparkline!A17:Z17</xm:f>
              <xm:sqref>AA17</xm:sqref>
            </x14:sparkline>
            <x14:sparkline>
              <xm:f>Part2_Sparkline!A18:Z18</xm:f>
              <xm:sqref>AA18</xm:sqref>
            </x14:sparkline>
            <x14:sparkline>
              <xm:f>Part2_Sparkline!A19:Z19</xm:f>
              <xm:sqref>AA19</xm:sqref>
            </x14:sparkline>
            <x14:sparkline>
              <xm:f>Part2_Sparkline!A20:Z20</xm:f>
              <xm:sqref>AA20</xm:sqref>
            </x14:sparkline>
            <x14:sparkline>
              <xm:f>Part2_Sparkline!A21:Z21</xm:f>
              <xm:sqref>AA21</xm:sqref>
            </x14:sparkline>
            <x14:sparkline>
              <xm:f>Part2_Sparkline!A22:Z22</xm:f>
              <xm:sqref>AA22</xm:sqref>
            </x14:sparkline>
            <x14:sparkline>
              <xm:f>Part2_Sparkline!A23:Z23</xm:f>
              <xm:sqref>AA23</xm:sqref>
            </x14:sparkline>
            <x14:sparkline>
              <xm:f>Part2_Sparkline!A24:Z24</xm:f>
              <xm:sqref>AA24</xm:sqref>
            </x14:sparkline>
            <x14:sparkline>
              <xm:f>Part2_Sparkline!A25:Z25</xm:f>
              <xm:sqref>AA25</xm:sqref>
            </x14:sparkline>
            <x14:sparkline>
              <xm:f>Part2_Sparkline!A26:Z26</xm:f>
              <xm:sqref>AA26</xm:sqref>
            </x14:sparkline>
            <x14:sparkline>
              <xm:f>Part2_Sparkline!A27:Z27</xm:f>
              <xm:sqref>AA27</xm:sqref>
            </x14:sparkline>
            <x14:sparkline>
              <xm:f>Part2_Sparkline!A28:Z28</xm:f>
              <xm:sqref>AA28</xm:sqref>
            </x14:sparkline>
            <x14:sparkline>
              <xm:f>Part2_Sparkline!A29:Z29</xm:f>
              <xm:sqref>AA29</xm:sqref>
            </x14:sparkline>
            <x14:sparkline>
              <xm:f>Part2_Sparkline!A30:Z30</xm:f>
              <xm:sqref>AA30</xm:sqref>
            </x14:sparkline>
            <x14:sparkline>
              <xm:f>Part2_Sparkline!A31:Z31</xm:f>
              <xm:sqref>AA31</xm:sqref>
            </x14:sparkline>
            <x14:sparkline>
              <xm:f>Part2_Sparkline!A32:Z32</xm:f>
              <xm:sqref>AA32</xm:sqref>
            </x14:sparkline>
            <x14:sparkline>
              <xm:f>Part2_Sparkline!A33:Z33</xm:f>
              <xm:sqref>AA33</xm:sqref>
            </x14:sparkline>
            <x14:sparkline>
              <xm:f>Part2_Sparkline!A34:Z34</xm:f>
              <xm:sqref>AA34</xm:sqref>
            </x14:sparkline>
            <x14:sparkline>
              <xm:f>Part2_Sparkline!A35:Z35</xm:f>
              <xm:sqref>AA35</xm:sqref>
            </x14:sparkline>
            <x14:sparkline>
              <xm:f>Part2_Sparkline!A36:Z36</xm:f>
              <xm:sqref>AA36</xm:sqref>
            </x14:sparkline>
            <x14:sparkline>
              <xm:f>Part2_Sparkline!A37:Z37</xm:f>
              <xm:sqref>AA37</xm:sqref>
            </x14:sparkline>
            <x14:sparkline>
              <xm:f>Part2_Sparkline!A38:Z38</xm:f>
              <xm:sqref>AA38</xm:sqref>
            </x14:sparkline>
            <x14:sparkline>
              <xm:f>Part2_Sparkline!A39:Z39</xm:f>
              <xm:sqref>AA39</xm:sqref>
            </x14:sparkline>
            <x14:sparkline>
              <xm:f>Part2_Sparkline!A40:Z40</xm:f>
              <xm:sqref>AA40</xm:sqref>
            </x14:sparkline>
            <x14:sparkline>
              <xm:f>Part2_Sparkline!A41:Z41</xm:f>
              <xm:sqref>AA41</xm:sqref>
            </x14:sparkline>
            <x14:sparkline>
              <xm:f>Part2_Sparkline!A42:Z42</xm:f>
              <xm:sqref>AA42</xm:sqref>
            </x14:sparkline>
            <x14:sparkline>
              <xm:f>Part2_Sparkline!A43:Z43</xm:f>
              <xm:sqref>AA43</xm:sqref>
            </x14:sparkline>
            <x14:sparkline>
              <xm:f>Part2_Sparkline!A44:Z44</xm:f>
              <xm:sqref>AA44</xm:sqref>
            </x14:sparkline>
            <x14:sparkline>
              <xm:f>Part2_Sparkline!A45:Z45</xm:f>
              <xm:sqref>AA45</xm:sqref>
            </x14:sparkline>
            <x14:sparkline>
              <xm:f>Part2_Sparkline!A46:Z46</xm:f>
              <xm:sqref>AA46</xm:sqref>
            </x14:sparkline>
            <x14:sparkline>
              <xm:f>Part2_Sparkline!A47:Z47</xm:f>
              <xm:sqref>AA47</xm:sqref>
            </x14:sparkline>
            <x14:sparkline>
              <xm:f>Part2_Sparkline!A48:Z48</xm:f>
              <xm:sqref>AA48</xm:sqref>
            </x14:sparkline>
            <x14:sparkline>
              <xm:f>Part2_Sparkline!A49:Z49</xm:f>
              <xm:sqref>AA49</xm:sqref>
            </x14:sparkline>
            <x14:sparkline>
              <xm:f>Part2_Sparkline!A50:Z50</xm:f>
              <xm:sqref>AA50</xm:sqref>
            </x14:sparkline>
            <x14:sparkline>
              <xm:f>Part2_Sparkline!A51:Z51</xm:f>
              <xm:sqref>AA51</xm:sqref>
            </x14:sparkline>
            <x14:sparkline>
              <xm:f>Part2_Sparkline!A52:Z52</xm:f>
              <xm:sqref>AA52</xm:sqref>
            </x14:sparkline>
            <x14:sparkline>
              <xm:f>Part2_Sparkline!A53:Z53</xm:f>
              <xm:sqref>AA53</xm:sqref>
            </x14:sparkline>
            <x14:sparkline>
              <xm:f>Part2_Sparkline!A54:Z54</xm:f>
              <xm:sqref>AA54</xm:sqref>
            </x14:sparkline>
            <x14:sparkline>
              <xm:f>Part2_Sparkline!A55:Z55</xm:f>
              <xm:sqref>AA55</xm:sqref>
            </x14:sparkline>
            <x14:sparkline>
              <xm:f>Part2_Sparkline!A56:Z56</xm:f>
              <xm:sqref>AA56</xm:sqref>
            </x14:sparkline>
            <x14:sparkline>
              <xm:f>Part2_Sparkline!A57:Z57</xm:f>
              <xm:sqref>AA57</xm:sqref>
            </x14:sparkline>
            <x14:sparkline>
              <xm:f>Part2_Sparkline!A58:Z58</xm:f>
              <xm:sqref>AA58</xm:sqref>
            </x14:sparkline>
            <x14:sparkline>
              <xm:f>Part2_Sparkline!A59:Z59</xm:f>
              <xm:sqref>AA59</xm:sqref>
            </x14:sparkline>
            <x14:sparkline>
              <xm:f>Part2_Sparkline!A60:Z60</xm:f>
              <xm:sqref>AA60</xm:sqref>
            </x14:sparkline>
            <x14:sparkline>
              <xm:f>Part2_Sparkline!A61:Z61</xm:f>
              <xm:sqref>AA61</xm:sqref>
            </x14:sparkline>
            <x14:sparkline>
              <xm:f>Part2_Sparkline!A62:Z62</xm:f>
              <xm:sqref>AA62</xm:sqref>
            </x14:sparkline>
            <x14:sparkline>
              <xm:f>Part2_Sparkline!A63:Z63</xm:f>
              <xm:sqref>AA63</xm:sqref>
            </x14:sparkline>
            <x14:sparkline>
              <xm:f>Part2_Sparkline!A64:Z64</xm:f>
              <xm:sqref>AA64</xm:sqref>
            </x14:sparkline>
            <x14:sparkline>
              <xm:f>Part2_Sparkline!A65:Z65</xm:f>
              <xm:sqref>AA65</xm:sqref>
            </x14:sparkline>
            <x14:sparkline>
              <xm:f>Part2_Sparkline!A66:Z66</xm:f>
              <xm:sqref>AA66</xm:sqref>
            </x14:sparkline>
            <x14:sparkline>
              <xm:f>Part2_Sparkline!A67:Z67</xm:f>
              <xm:sqref>AA67</xm:sqref>
            </x14:sparkline>
            <x14:sparkline>
              <xm:f>Part2_Sparkline!A68:Z68</xm:f>
              <xm:sqref>AA68</xm:sqref>
            </x14:sparkline>
            <x14:sparkline>
              <xm:f>Part2_Sparkline!A69:Z69</xm:f>
              <xm:sqref>AA69</xm:sqref>
            </x14:sparkline>
            <x14:sparkline>
              <xm:f>Part2_Sparkline!A70:Z70</xm:f>
              <xm:sqref>AA70</xm:sqref>
            </x14:sparkline>
            <x14:sparkline>
              <xm:f>Part2_Sparkline!A71:Z71</xm:f>
              <xm:sqref>AA71</xm:sqref>
            </x14:sparkline>
            <x14:sparkline>
              <xm:f>Part2_Sparkline!A72:Z72</xm:f>
              <xm:sqref>AA72</xm:sqref>
            </x14:sparkline>
            <x14:sparkline>
              <xm:f>Part2_Sparkline!A73:Z73</xm:f>
              <xm:sqref>AA73</xm:sqref>
            </x14:sparkline>
            <x14:sparkline>
              <xm:f>Part2_Sparkline!A74:Z74</xm:f>
              <xm:sqref>AA74</xm:sqref>
            </x14:sparkline>
            <x14:sparkline>
              <xm:f>Part2_Sparkline!A75:Z75</xm:f>
              <xm:sqref>AA75</xm:sqref>
            </x14:sparkline>
            <x14:sparkline>
              <xm:f>Part2_Sparkline!A76:Z76</xm:f>
              <xm:sqref>AA76</xm:sqref>
            </x14:sparkline>
            <x14:sparkline>
              <xm:f>Part2_Sparkline!A77:Z77</xm:f>
              <xm:sqref>AA77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H21" sqref="H21"/>
    </sheetView>
  </sheetViews>
  <sheetFormatPr defaultRowHeight="15" x14ac:dyDescent="0.25"/>
  <cols>
    <col min="1" max="1" width="25.85546875" customWidth="1"/>
    <col min="2" max="2" width="34.5703125" customWidth="1"/>
  </cols>
  <sheetData>
    <row r="1" spans="1:2" ht="18.75" x14ac:dyDescent="0.3">
      <c r="A1" s="61" t="s">
        <v>136</v>
      </c>
      <c r="B1" s="61"/>
    </row>
    <row r="2" spans="1:2" x14ac:dyDescent="0.25">
      <c r="A2" s="51" t="s">
        <v>8</v>
      </c>
      <c r="B2" s="52" t="s">
        <v>9</v>
      </c>
    </row>
    <row r="3" spans="1:2" x14ac:dyDescent="0.25">
      <c r="A3" s="53" t="s">
        <v>137</v>
      </c>
      <c r="B3" s="54">
        <v>13591643.699999999</v>
      </c>
    </row>
    <row r="4" spans="1:2" x14ac:dyDescent="0.25">
      <c r="A4" s="53" t="s">
        <v>138</v>
      </c>
      <c r="B4" s="55">
        <v>98666</v>
      </c>
    </row>
    <row r="5" spans="1:2" ht="17.25" customHeight="1" x14ac:dyDescent="0.25">
      <c r="A5" s="53" t="s">
        <v>139</v>
      </c>
      <c r="B5" s="54">
        <v>137.72999999999999</v>
      </c>
    </row>
    <row r="6" spans="1:2" ht="15.75" customHeight="1" x14ac:dyDescent="0.25">
      <c r="A6" s="53" t="s">
        <v>140</v>
      </c>
      <c r="B6" s="56" t="s">
        <v>43</v>
      </c>
    </row>
    <row r="7" spans="1:2" ht="17.25" customHeight="1" x14ac:dyDescent="0.25">
      <c r="A7" s="53" t="s">
        <v>141</v>
      </c>
      <c r="B7" s="54">
        <v>1258681.3400000001</v>
      </c>
    </row>
    <row r="8" spans="1:2" ht="17.25" customHeight="1" x14ac:dyDescent="0.25">
      <c r="A8" s="53" t="s">
        <v>142</v>
      </c>
      <c r="B8" s="56" t="s">
        <v>51</v>
      </c>
    </row>
    <row r="9" spans="1:2" ht="17.25" customHeight="1" x14ac:dyDescent="0.25">
      <c r="A9" s="53" t="s">
        <v>143</v>
      </c>
      <c r="B9" s="54">
        <v>214.26</v>
      </c>
    </row>
    <row r="10" spans="1:2" ht="16.5" customHeight="1" x14ac:dyDescent="0.25">
      <c r="A10" s="53" t="s">
        <v>144</v>
      </c>
      <c r="B10" s="57">
        <v>0.62360000000000004</v>
      </c>
    </row>
    <row r="11" spans="1:2" x14ac:dyDescent="0.25">
      <c r="A11" s="58" t="s">
        <v>145</v>
      </c>
      <c r="B11" s="59">
        <v>1.3299999999999999E-2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zoomScaleNormal="100" workbookViewId="0">
      <selection activeCell="AC27" sqref="AC27:AD56"/>
    </sheetView>
  </sheetViews>
  <sheetFormatPr defaultRowHeight="15" x14ac:dyDescent="0.25"/>
  <cols>
    <col min="1" max="1" width="168.5703125" customWidth="1"/>
  </cols>
  <sheetData>
    <row r="1" spans="1:1" ht="26.25" x14ac:dyDescent="0.4">
      <c r="A1" s="69" t="s">
        <v>146</v>
      </c>
    </row>
    <row r="2" spans="1:1" s="67" customFormat="1" ht="15" customHeight="1" x14ac:dyDescent="0.25">
      <c r="A2" s="70" t="s">
        <v>147</v>
      </c>
    </row>
    <row r="3" spans="1:1" x14ac:dyDescent="0.25">
      <c r="A3" s="68" t="s">
        <v>148</v>
      </c>
    </row>
    <row r="4" spans="1:1" x14ac:dyDescent="0.25">
      <c r="A4" s="60" t="s">
        <v>149</v>
      </c>
    </row>
    <row r="5" spans="1:1" x14ac:dyDescent="0.25">
      <c r="A5" s="60"/>
    </row>
    <row r="6" spans="1:1" ht="18.75" x14ac:dyDescent="0.25">
      <c r="A6" s="71" t="s">
        <v>150</v>
      </c>
    </row>
    <row r="7" spans="1:1" ht="30.75" x14ac:dyDescent="0.25">
      <c r="A7" s="72" t="s">
        <v>152</v>
      </c>
    </row>
    <row r="8" spans="1:1" x14ac:dyDescent="0.25">
      <c r="A8" s="60" t="s">
        <v>151</v>
      </c>
    </row>
    <row r="9" spans="1:1" x14ac:dyDescent="0.25">
      <c r="A9" s="60"/>
    </row>
    <row r="10" spans="1:1" ht="18.75" x14ac:dyDescent="0.25">
      <c r="A10" s="71" t="s">
        <v>153</v>
      </c>
    </row>
    <row r="11" spans="1:1" x14ac:dyDescent="0.25">
      <c r="A11" s="60" t="s">
        <v>154</v>
      </c>
    </row>
    <row r="12" spans="1:1" ht="15.75" x14ac:dyDescent="0.3">
      <c r="A12" s="60" t="s">
        <v>155</v>
      </c>
    </row>
    <row r="13" spans="1:1" x14ac:dyDescent="0.25">
      <c r="A13" s="60" t="s">
        <v>156</v>
      </c>
    </row>
    <row r="14" spans="1:1" x14ac:dyDescent="0.25">
      <c r="A14" s="60"/>
    </row>
    <row r="15" spans="1:1" ht="18.75" x14ac:dyDescent="0.25">
      <c r="A15" s="73" t="s">
        <v>25</v>
      </c>
    </row>
    <row r="16" spans="1:1" x14ac:dyDescent="0.25">
      <c r="A16" s="60" t="s">
        <v>157</v>
      </c>
    </row>
    <row r="17" spans="1:1" x14ac:dyDescent="0.25">
      <c r="A17" s="60" t="s">
        <v>158</v>
      </c>
    </row>
    <row r="18" spans="1:1" ht="30" x14ac:dyDescent="0.25">
      <c r="A18" s="60" t="s">
        <v>159</v>
      </c>
    </row>
    <row r="19" spans="1:1" s="60" customFormat="1" ht="30" x14ac:dyDescent="0.25">
      <c r="A19" s="50" t="s">
        <v>160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daily_orders_health_report</vt:lpstr>
      <vt:lpstr>prt1_Summary</vt:lpstr>
      <vt:lpstr>prt1_Findings</vt:lpstr>
      <vt:lpstr>Part2_KPI_Data</vt:lpstr>
      <vt:lpstr>Part2_Category_Pivot</vt:lpstr>
      <vt:lpstr>Part2_Sparkline</vt:lpstr>
      <vt:lpstr>Part2_Summary</vt:lpstr>
      <vt:lpstr>Part2_Findings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2026-10-01T15:05:18Z</dcterms:modified>
</cp:coreProperties>
</file>